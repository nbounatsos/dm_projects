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xialuizinho/Desktop/Data Mining/Assignment 1/GitHubrep/dm_projects/correlation matrices/"/>
    </mc:Choice>
  </mc:AlternateContent>
  <xr:revisionPtr revIDLastSave="0" documentId="13_ncr:40009_{0D8B3576-BA2B-3542-BD48-C644F6501396}" xr6:coauthVersionLast="47" xr6:coauthVersionMax="47" xr10:uidLastSave="{00000000-0000-0000-0000-000000000000}"/>
  <bookViews>
    <workbookView xWindow="11480" yWindow="500" windowWidth="16100" windowHeight="15360"/>
  </bookViews>
  <sheets>
    <sheet name="Summary correlation" sheetId="3" r:id="rId1"/>
    <sheet name="correlation_arousal" sheetId="1" r:id="rId2"/>
    <sheet name="correlation_mood" sheetId="4" r:id="rId3"/>
    <sheet name="correlation_valence" sheetId="5" r:id="rId4"/>
  </sheets>
  <definedNames>
    <definedName name="_xlnm._FilterDatabase" localSheetId="0" hidden="1">'Summary correlation'!$A$2:$L$2</definedName>
  </definedNames>
  <calcPr calcId="0"/>
</workbook>
</file>

<file path=xl/calcChain.xml><?xml version="1.0" encoding="utf-8"?>
<calcChain xmlns="http://schemas.openxmlformats.org/spreadsheetml/2006/main">
  <c r="Q20" i="5" l="1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J3" i="3"/>
  <c r="I3" i="3"/>
  <c r="G11" i="3"/>
  <c r="F11" i="3"/>
  <c r="G8" i="3"/>
  <c r="F8" i="3"/>
  <c r="G9" i="3"/>
  <c r="F9" i="3"/>
  <c r="G5" i="3"/>
  <c r="F5" i="3"/>
  <c r="G18" i="3"/>
  <c r="F18" i="3"/>
  <c r="G17" i="3"/>
  <c r="F17" i="3"/>
  <c r="G12" i="3"/>
  <c r="F12" i="3"/>
  <c r="G13" i="3"/>
  <c r="F13" i="3"/>
  <c r="G16" i="3"/>
  <c r="F16" i="3"/>
  <c r="G7" i="3"/>
  <c r="F7" i="3"/>
  <c r="G6" i="3"/>
  <c r="F6" i="3"/>
  <c r="G14" i="3"/>
  <c r="F14" i="3"/>
  <c r="G10" i="3"/>
  <c r="F10" i="3"/>
  <c r="G3" i="3"/>
  <c r="F3" i="3"/>
  <c r="G15" i="3"/>
  <c r="F15" i="3"/>
  <c r="G4" i="3"/>
  <c r="F4" i="3"/>
  <c r="D4" i="3"/>
  <c r="C4" i="3"/>
  <c r="D12" i="3"/>
  <c r="C12" i="3"/>
  <c r="D18" i="3"/>
  <c r="C18" i="3"/>
  <c r="D3" i="3"/>
  <c r="C3" i="3"/>
  <c r="D13" i="3"/>
  <c r="C13" i="3"/>
  <c r="D6" i="3"/>
  <c r="C6" i="3"/>
  <c r="D8" i="3"/>
  <c r="C8" i="3"/>
  <c r="D11" i="3"/>
  <c r="C11" i="3"/>
  <c r="D7" i="3"/>
  <c r="C7" i="3"/>
  <c r="D10" i="3"/>
  <c r="C10" i="3"/>
  <c r="D17" i="3"/>
  <c r="C17" i="3"/>
  <c r="D15" i="3"/>
  <c r="C15" i="3"/>
  <c r="D16" i="3"/>
  <c r="C16" i="3"/>
  <c r="D5" i="3"/>
  <c r="C5" i="3"/>
  <c r="D14" i="3"/>
  <c r="C14" i="3"/>
  <c r="D9" i="3"/>
  <c r="C9" i="3"/>
  <c r="N19" i="1"/>
  <c r="O19" i="1"/>
  <c r="P19" i="1"/>
  <c r="Q19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C20" i="1"/>
  <c r="D20" i="1"/>
  <c r="E20" i="1"/>
  <c r="F20" i="1"/>
  <c r="G20" i="1"/>
  <c r="H20" i="1"/>
  <c r="I20" i="1"/>
  <c r="J20" i="1"/>
  <c r="K20" i="1"/>
  <c r="L20" i="1"/>
  <c r="M20" i="1"/>
  <c r="B20" i="1"/>
  <c r="B19" i="1"/>
</calcChain>
</file>

<file path=xl/sharedStrings.xml><?xml version="1.0" encoding="utf-8"?>
<sst xmlns="http://schemas.openxmlformats.org/spreadsheetml/2006/main" count="137" uniqueCount="22">
  <si>
    <t>activity</t>
  </si>
  <si>
    <t>appCat.builtin</t>
  </si>
  <si>
    <t>appCat.communication</t>
  </si>
  <si>
    <t>appCat.entertainment</t>
  </si>
  <si>
    <t>appCat.finance</t>
  </si>
  <si>
    <t>appCat.game</t>
  </si>
  <si>
    <t>appCat.office</t>
  </si>
  <si>
    <t>appCat.other</t>
  </si>
  <si>
    <t>appCat.social</t>
  </si>
  <si>
    <t>appCat.travel</t>
  </si>
  <si>
    <t>appCat.unknown</t>
  </si>
  <si>
    <t>appCat.utilities</t>
  </si>
  <si>
    <t>appCat.weather</t>
  </si>
  <si>
    <t>screen</t>
  </si>
  <si>
    <t>call</t>
  </si>
  <si>
    <t>sms</t>
  </si>
  <si>
    <t>circumplex.arousal</t>
  </si>
  <si>
    <t>absolute</t>
  </si>
  <si>
    <t>pos/neg</t>
  </si>
  <si>
    <t>feature</t>
  </si>
  <si>
    <t>circumplex.valence</t>
  </si>
  <si>
    <t>mood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</si>
</sst>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tabSelected="1" zoomScale="66" workbookViewId="0">
      <selection activeCell="F22" sqref="F22"/>
    </sheetView>
  </sheetViews>
  <sheetFormatPr baseColWidth="10" defaultRowHeight="16" x14ac:dyDescent="0.2"/>
  <cols>
    <col min="1" max="1" width="20.1640625" bestFit="1" customWidth="1"/>
  </cols>
  <sheetData>
    <row r="1" spans="1:10" x14ac:dyDescent="0.2">
      <c r="B1" s="1" t="s">
        <v>16</v>
      </c>
      <c r="C1" s="1"/>
      <c r="D1" s="1"/>
      <c r="E1" s="2" t="s">
        <v>20</v>
      </c>
      <c r="F1" s="2"/>
      <c r="G1" s="2"/>
      <c r="H1" s="3" t="s">
        <v>21</v>
      </c>
      <c r="I1" s="3"/>
      <c r="J1" s="3"/>
    </row>
    <row r="2" spans="1:10" x14ac:dyDescent="0.2">
      <c r="A2" t="s">
        <v>19</v>
      </c>
      <c r="B2" t="s">
        <v>16</v>
      </c>
      <c r="C2" t="s">
        <v>17</v>
      </c>
      <c r="D2" t="s">
        <v>18</v>
      </c>
      <c r="E2" t="s">
        <v>20</v>
      </c>
      <c r="F2" t="s">
        <v>17</v>
      </c>
      <c r="G2" t="s">
        <v>18</v>
      </c>
      <c r="H2" t="s">
        <v>21</v>
      </c>
      <c r="I2" t="s">
        <v>17</v>
      </c>
      <c r="J2" t="s">
        <v>18</v>
      </c>
    </row>
    <row r="3" spans="1:10" x14ac:dyDescent="0.2">
      <c r="A3" t="s">
        <v>6</v>
      </c>
      <c r="B3">
        <v>-2.2085575107080799E-2</v>
      </c>
      <c r="C3">
        <f>ABS(B3)</f>
        <v>2.2085575107080799E-2</v>
      </c>
      <c r="D3" t="str">
        <f>IF(B3&gt;0,"+","-")</f>
        <v>-</v>
      </c>
      <c r="E3">
        <v>0.112189657920684</v>
      </c>
      <c r="F3">
        <f>ABS(E3)</f>
        <v>0.112189657920684</v>
      </c>
      <c r="G3" t="str">
        <f>IF(E3&gt;0,"+","-")</f>
        <v>+</v>
      </c>
      <c r="H3">
        <v>-0.19598130917906101</v>
      </c>
      <c r="I3">
        <f>ABS(H3)</f>
        <v>0.19598130917906101</v>
      </c>
      <c r="J3" t="str">
        <f>IF(H3&gt;0,"+","-")</f>
        <v>-</v>
      </c>
    </row>
    <row r="4" spans="1:10" x14ac:dyDescent="0.2">
      <c r="A4" t="s">
        <v>0</v>
      </c>
      <c r="B4">
        <v>-3.6774444815835198E-3</v>
      </c>
      <c r="C4">
        <f>ABS(B4)</f>
        <v>3.6774444815835198E-3</v>
      </c>
      <c r="D4" t="str">
        <f>IF(B4&gt;0,"+","-")</f>
        <v>-</v>
      </c>
      <c r="E4">
        <v>0.166393776520599</v>
      </c>
      <c r="F4">
        <f>ABS(E4)</f>
        <v>0.166393776520599</v>
      </c>
      <c r="G4" t="str">
        <f>IF(E4&gt;0,"+","-")</f>
        <v>+</v>
      </c>
      <c r="H4">
        <v>0.16714463077644701</v>
      </c>
      <c r="I4">
        <f>ABS(H4)</f>
        <v>0.16714463077644701</v>
      </c>
      <c r="J4" t="str">
        <f>IF(H4&gt;0,"+","-")</f>
        <v>+</v>
      </c>
    </row>
    <row r="5" spans="1:10" x14ac:dyDescent="0.2">
      <c r="A5" t="s">
        <v>4</v>
      </c>
      <c r="B5">
        <v>0.12640360730144901</v>
      </c>
      <c r="C5">
        <f>ABS(B5)</f>
        <v>0.12640360730144901</v>
      </c>
      <c r="D5" t="str">
        <f>IF(B5&gt;0,"+","-")</f>
        <v>+</v>
      </c>
      <c r="E5">
        <v>-3.4997996918740303E-2</v>
      </c>
      <c r="F5">
        <f>ABS(E5)</f>
        <v>3.4997996918740303E-2</v>
      </c>
      <c r="G5" t="str">
        <f>IF(E5&gt;0,"+","-")</f>
        <v>-</v>
      </c>
      <c r="H5">
        <v>-0.106357472343638</v>
      </c>
      <c r="I5">
        <f>ABS(H5)</f>
        <v>0.106357472343638</v>
      </c>
      <c r="J5" t="str">
        <f>IF(H5&gt;0,"+","-")</f>
        <v>-</v>
      </c>
    </row>
    <row r="6" spans="1:10" x14ac:dyDescent="0.2">
      <c r="A6" t="s">
        <v>2</v>
      </c>
      <c r="B6">
        <v>-3.2056800539492399E-2</v>
      </c>
      <c r="C6">
        <f>ABS(B6)</f>
        <v>3.2056800539492399E-2</v>
      </c>
      <c r="D6" t="str">
        <f>IF(B6&gt;0,"+","-")</f>
        <v>-</v>
      </c>
      <c r="E6">
        <v>-9.4057502795165102E-2</v>
      </c>
      <c r="F6">
        <f>ABS(E6)</f>
        <v>9.4057502795165102E-2</v>
      </c>
      <c r="G6" t="str">
        <f>IF(E6&gt;0,"+","-")</f>
        <v>-</v>
      </c>
      <c r="H6">
        <v>8.8719610717630501E-2</v>
      </c>
      <c r="I6">
        <f>ABS(H6)</f>
        <v>8.8719610717630501E-2</v>
      </c>
      <c r="J6" t="str">
        <f>IF(H6&gt;0,"+","-")</f>
        <v>+</v>
      </c>
    </row>
    <row r="7" spans="1:10" x14ac:dyDescent="0.2">
      <c r="A7" t="s">
        <v>9</v>
      </c>
      <c r="B7">
        <v>-7.0602527322691705E-2</v>
      </c>
      <c r="C7">
        <f>ABS(B7)</f>
        <v>7.0602527322691705E-2</v>
      </c>
      <c r="D7" t="str">
        <f>IF(B7&gt;0,"+","-")</f>
        <v>-</v>
      </c>
      <c r="E7">
        <v>-6.99791579093543E-2</v>
      </c>
      <c r="F7">
        <f>ABS(E7)</f>
        <v>6.99791579093543E-2</v>
      </c>
      <c r="G7" t="str">
        <f>IF(E7&gt;0,"+","-")</f>
        <v>-</v>
      </c>
      <c r="H7">
        <v>7.6851927548474905E-2</v>
      </c>
      <c r="I7">
        <f>ABS(H7)</f>
        <v>7.6851927548474905E-2</v>
      </c>
      <c r="J7" t="str">
        <f>IF(H7&gt;0,"+","-")</f>
        <v>+</v>
      </c>
    </row>
    <row r="8" spans="1:10" x14ac:dyDescent="0.2">
      <c r="A8" t="s">
        <v>13</v>
      </c>
      <c r="B8">
        <v>-3.51972900177491E-2</v>
      </c>
      <c r="C8">
        <f>ABS(B8)</f>
        <v>3.51972900177491E-2</v>
      </c>
      <c r="D8" t="str">
        <f>IF(B8&gt;0,"+","-")</f>
        <v>-</v>
      </c>
      <c r="E8">
        <v>-1.2567955086657701E-2</v>
      </c>
      <c r="F8">
        <f>ABS(E8)</f>
        <v>1.2567955086657701E-2</v>
      </c>
      <c r="G8" t="str">
        <f>IF(E8&gt;0,"+","-")</f>
        <v>-</v>
      </c>
      <c r="H8">
        <v>6.9568886086364398E-2</v>
      </c>
      <c r="I8">
        <f>ABS(H8)</f>
        <v>6.9568886086364398E-2</v>
      </c>
      <c r="J8" t="str">
        <f>IF(H8&gt;0,"+","-")</f>
        <v>+</v>
      </c>
    </row>
    <row r="9" spans="1:10" x14ac:dyDescent="0.2">
      <c r="A9" t="s">
        <v>5</v>
      </c>
      <c r="B9">
        <v>-0.31793419974761999</v>
      </c>
      <c r="C9">
        <f>ABS(B9)</f>
        <v>0.31793419974761999</v>
      </c>
      <c r="D9" t="str">
        <f>IF(B9&gt;0,"+","-")</f>
        <v>-</v>
      </c>
      <c r="E9">
        <v>2.0549342242573501E-2</v>
      </c>
      <c r="F9">
        <f>ABS(E9)</f>
        <v>2.0549342242573501E-2</v>
      </c>
      <c r="G9" t="str">
        <f>IF(E9&gt;0,"+","-")</f>
        <v>+</v>
      </c>
      <c r="H9">
        <v>4.9709757187193997E-2</v>
      </c>
      <c r="I9">
        <f>ABS(H9)</f>
        <v>4.9709757187193997E-2</v>
      </c>
      <c r="J9" t="str">
        <f>IF(H9&gt;0,"+","-")</f>
        <v>+</v>
      </c>
    </row>
    <row r="10" spans="1:10" x14ac:dyDescent="0.2">
      <c r="A10" t="s">
        <v>10</v>
      </c>
      <c r="B10">
        <v>-7.4654347978792696E-2</v>
      </c>
      <c r="C10">
        <f>ABS(B10)</f>
        <v>7.4654347978792696E-2</v>
      </c>
      <c r="D10" t="str">
        <f>IF(B10&gt;0,"+","-")</f>
        <v>-</v>
      </c>
      <c r="E10">
        <v>-0.10921569573880401</v>
      </c>
      <c r="F10">
        <f>ABS(E10)</f>
        <v>0.10921569573880401</v>
      </c>
      <c r="G10" t="str">
        <f>IF(E10&gt;0,"+","-")</f>
        <v>-</v>
      </c>
      <c r="H10">
        <v>-4.5741891256721401E-2</v>
      </c>
      <c r="I10">
        <f>ABS(H10)</f>
        <v>4.5741891256721401E-2</v>
      </c>
      <c r="J10" t="str">
        <f>IF(H10&gt;0,"+","-")</f>
        <v>-</v>
      </c>
    </row>
    <row r="11" spans="1:10" x14ac:dyDescent="0.2">
      <c r="A11" t="s">
        <v>1</v>
      </c>
      <c r="B11">
        <v>-5.0510805125913702E-2</v>
      </c>
      <c r="C11">
        <f>ABS(B11)</f>
        <v>5.0510805125913702E-2</v>
      </c>
      <c r="D11" t="str">
        <f>IF(B11&gt;0,"+","-")</f>
        <v>-</v>
      </c>
      <c r="E11">
        <v>-9.3914329780291402E-3</v>
      </c>
      <c r="F11">
        <f>ABS(E11)</f>
        <v>9.3914329780291402E-3</v>
      </c>
      <c r="G11" t="str">
        <f>IF(E11&gt;0,"+","-")</f>
        <v>-</v>
      </c>
      <c r="H11">
        <v>4.1753571275675201E-2</v>
      </c>
      <c r="I11">
        <f>ABS(H11)</f>
        <v>4.1753571275675201E-2</v>
      </c>
      <c r="J11" t="str">
        <f>IF(H11&gt;0,"+","-")</f>
        <v>+</v>
      </c>
    </row>
    <row r="12" spans="1:10" x14ac:dyDescent="0.2">
      <c r="A12" t="s">
        <v>14</v>
      </c>
      <c r="B12">
        <v>1.2412187847833499E-2</v>
      </c>
      <c r="C12">
        <f>ABS(B12)</f>
        <v>1.2412187847833499E-2</v>
      </c>
      <c r="D12" t="str">
        <f>IF(B12&gt;0,"+","-")</f>
        <v>+</v>
      </c>
      <c r="E12">
        <v>-5.8362312808885999E-2</v>
      </c>
      <c r="F12">
        <f>ABS(E12)</f>
        <v>5.8362312808885999E-2</v>
      </c>
      <c r="G12" t="str">
        <f>IF(E12&gt;0,"+","-")</f>
        <v>-</v>
      </c>
      <c r="H12">
        <v>3.3679123706119501E-2</v>
      </c>
      <c r="I12">
        <f>ABS(H12)</f>
        <v>3.3679123706119501E-2</v>
      </c>
      <c r="J12" t="str">
        <f>IF(H12&gt;0,"+","-")</f>
        <v>+</v>
      </c>
    </row>
    <row r="13" spans="1:10" x14ac:dyDescent="0.2">
      <c r="A13" t="s">
        <v>15</v>
      </c>
      <c r="B13">
        <v>-3.1626141246847803E-2</v>
      </c>
      <c r="C13">
        <f>ABS(B13)</f>
        <v>3.1626141246847803E-2</v>
      </c>
      <c r="D13" t="str">
        <f>IF(B13&gt;0,"+","-")</f>
        <v>-</v>
      </c>
      <c r="E13">
        <v>-5.8623359802545197E-2</v>
      </c>
      <c r="F13">
        <f>ABS(E13)</f>
        <v>5.8623359802545197E-2</v>
      </c>
      <c r="G13" t="str">
        <f>IF(E13&gt;0,"+","-")</f>
        <v>-</v>
      </c>
      <c r="H13">
        <v>-2.53213531529205E-2</v>
      </c>
      <c r="I13">
        <f>ABS(H13)</f>
        <v>2.53213531529205E-2</v>
      </c>
      <c r="J13" t="str">
        <f>IF(H13&gt;0,"+","-")</f>
        <v>-</v>
      </c>
    </row>
    <row r="14" spans="1:10" x14ac:dyDescent="0.2">
      <c r="A14" t="s">
        <v>11</v>
      </c>
      <c r="B14">
        <v>0.128968584751667</v>
      </c>
      <c r="C14">
        <f>ABS(B14)</f>
        <v>0.128968584751667</v>
      </c>
      <c r="D14" t="str">
        <f>IF(B14&gt;0,"+","-")</f>
        <v>+</v>
      </c>
      <c r="E14">
        <v>9.6672190315366099E-2</v>
      </c>
      <c r="F14">
        <f>ABS(E14)</f>
        <v>9.6672190315366099E-2</v>
      </c>
      <c r="G14" t="str">
        <f>IF(E14&gt;0,"+","-")</f>
        <v>+</v>
      </c>
      <c r="H14">
        <v>1.6360078247112199E-2</v>
      </c>
      <c r="I14">
        <f>ABS(H14)</f>
        <v>1.6360078247112199E-2</v>
      </c>
      <c r="J14" t="str">
        <f>IF(H14&gt;0,"+","-")</f>
        <v>+</v>
      </c>
    </row>
    <row r="15" spans="1:10" x14ac:dyDescent="0.2">
      <c r="A15" t="s">
        <v>7</v>
      </c>
      <c r="B15">
        <v>-8.4067599352847702E-2</v>
      </c>
      <c r="C15">
        <f>ABS(B15)</f>
        <v>8.4067599352847702E-2</v>
      </c>
      <c r="D15" t="str">
        <f>IF(B15&gt;0,"+","-")</f>
        <v>-</v>
      </c>
      <c r="E15">
        <v>-0.119224513369841</v>
      </c>
      <c r="F15">
        <f>ABS(E15)</f>
        <v>0.119224513369841</v>
      </c>
      <c r="G15" t="str">
        <f>IF(E15&gt;0,"+","-")</f>
        <v>-</v>
      </c>
      <c r="H15">
        <v>1.3099952224839499E-2</v>
      </c>
      <c r="I15">
        <f>ABS(H15)</f>
        <v>1.3099952224839499E-2</v>
      </c>
      <c r="J15" t="str">
        <f>IF(H15&gt;0,"+","-")</f>
        <v>+</v>
      </c>
    </row>
    <row r="16" spans="1:10" x14ac:dyDescent="0.2">
      <c r="A16" t="s">
        <v>8</v>
      </c>
      <c r="B16">
        <v>-0.108978617450723</v>
      </c>
      <c r="C16">
        <f>ABS(B16)</f>
        <v>0.108978617450723</v>
      </c>
      <c r="D16" t="str">
        <f>IF(B16&gt;0,"+","-")</f>
        <v>-</v>
      </c>
      <c r="E16">
        <v>-5.9556560777119197E-2</v>
      </c>
      <c r="F16">
        <f>ABS(E16)</f>
        <v>5.9556560777119197E-2</v>
      </c>
      <c r="G16" t="str">
        <f>IF(E16&gt;0,"+","-")</f>
        <v>-</v>
      </c>
      <c r="H16">
        <v>3.6902176168752002E-3</v>
      </c>
      <c r="I16">
        <f>ABS(H16)</f>
        <v>3.6902176168752002E-3</v>
      </c>
      <c r="J16" t="str">
        <f>IF(H16&gt;0,"+","-")</f>
        <v>+</v>
      </c>
    </row>
    <row r="17" spans="1:10" x14ac:dyDescent="0.2">
      <c r="A17" t="s">
        <v>12</v>
      </c>
      <c r="B17">
        <v>7.8139390211680995E-2</v>
      </c>
      <c r="C17">
        <f>ABS(B17)</f>
        <v>7.8139390211680995E-2</v>
      </c>
      <c r="D17" t="str">
        <f>IF(B17&gt;0,"+","-")</f>
        <v>+</v>
      </c>
      <c r="E17">
        <v>4.3798147738881799E-2</v>
      </c>
      <c r="F17">
        <f>ABS(E17)</f>
        <v>4.3798147738881799E-2</v>
      </c>
      <c r="G17" t="str">
        <f>IF(E17&gt;0,"+","-")</f>
        <v>+</v>
      </c>
      <c r="H17">
        <v>-5.4265759971265995E-4</v>
      </c>
      <c r="I17">
        <f>ABS(H17)</f>
        <v>5.4265759971265995E-4</v>
      </c>
      <c r="J17" t="str">
        <f>IF(H17&gt;0,"+","-")</f>
        <v>-</v>
      </c>
    </row>
    <row r="18" spans="1:10" x14ac:dyDescent="0.2">
      <c r="A18" t="s">
        <v>3</v>
      </c>
      <c r="B18">
        <v>-1.4865491765216701E-2</v>
      </c>
      <c r="C18">
        <f>ABS(B18)</f>
        <v>1.4865491765216701E-2</v>
      </c>
      <c r="D18" t="str">
        <f>IF(B18&gt;0,"+","-")</f>
        <v>-</v>
      </c>
      <c r="E18">
        <v>4.2561814834169001E-2</v>
      </c>
      <c r="F18">
        <f>ABS(E18)</f>
        <v>4.2561814834169001E-2</v>
      </c>
      <c r="G18" t="str">
        <f>IF(E18&gt;0,"+","-")</f>
        <v>+</v>
      </c>
      <c r="H18">
        <v>-4.8532167335528899E-4</v>
      </c>
      <c r="I18">
        <f>ABS(H18)</f>
        <v>4.8532167335528899E-4</v>
      </c>
      <c r="J18" t="str">
        <f>IF(H18&gt;0,"+","-")</f>
        <v>-</v>
      </c>
    </row>
    <row r="21" spans="1:10" x14ac:dyDescent="0.2">
      <c r="B21" s="1" t="s">
        <v>16</v>
      </c>
      <c r="C21" s="2" t="s">
        <v>20</v>
      </c>
      <c r="D21" s="3" t="s">
        <v>21</v>
      </c>
    </row>
    <row r="22" spans="1:10" x14ac:dyDescent="0.2">
      <c r="A22" t="s">
        <v>16</v>
      </c>
      <c r="B22">
        <v>1</v>
      </c>
      <c r="C22">
        <v>0.16930344259524499</v>
      </c>
      <c r="D22">
        <v>0.15295266673774</v>
      </c>
    </row>
    <row r="23" spans="1:10" x14ac:dyDescent="0.2">
      <c r="A23" t="s">
        <v>20</v>
      </c>
      <c r="B23">
        <v>0.16930344259524499</v>
      </c>
      <c r="C23">
        <v>1</v>
      </c>
      <c r="D23">
        <v>0.68522710698556499</v>
      </c>
    </row>
    <row r="24" spans="1:10" x14ac:dyDescent="0.2">
      <c r="A24" t="s">
        <v>21</v>
      </c>
      <c r="B24">
        <v>0.15295266673774</v>
      </c>
      <c r="C24">
        <v>0.68522710698556499</v>
      </c>
      <c r="D24">
        <v>1</v>
      </c>
    </row>
  </sheetData>
  <autoFilter ref="A2:L2">
    <sortState xmlns:xlrd2="http://schemas.microsoft.com/office/spreadsheetml/2017/richdata2" ref="A3:L18">
      <sortCondition descending="1" ref="I2:I18"/>
    </sortState>
  </autoFilter>
  <conditionalFormatting sqref="D3:D18 G3:G18 J3:J18">
    <cfRule type="cellIs" dxfId="5" priority="7" operator="equal">
      <formula>"+"</formula>
    </cfRule>
    <cfRule type="cellIs" dxfId="4" priority="8" operator="equal">
      <formula>"-"</formula>
    </cfRule>
  </conditionalFormatting>
  <conditionalFormatting sqref="C3:C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"/>
  <sheetViews>
    <sheetView zoomScale="75" workbookViewId="0">
      <selection activeCell="A19" sqref="A19:XFD20"/>
    </sheetView>
  </sheetViews>
  <sheetFormatPr baseColWidth="10" defaultRowHeight="16" x14ac:dyDescent="0.2"/>
  <sheetData>
    <row r="1" spans="1:1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x14ac:dyDescent="0.2">
      <c r="A2" t="s">
        <v>0</v>
      </c>
      <c r="B2">
        <v>1</v>
      </c>
      <c r="C2">
        <v>4.16004280791357E-2</v>
      </c>
      <c r="D2">
        <v>-8.9998159743817002E-2</v>
      </c>
      <c r="E2">
        <v>6.5194304131210107E-2</v>
      </c>
      <c r="F2">
        <v>4.5673285326242E-2</v>
      </c>
      <c r="G2">
        <v>-0.17125771155376299</v>
      </c>
      <c r="H2">
        <v>0.27382616671917598</v>
      </c>
      <c r="I2">
        <v>9.2059082899901404E-2</v>
      </c>
      <c r="J2">
        <v>-0.16014460855066701</v>
      </c>
      <c r="K2">
        <v>-4.3849837244889299E-2</v>
      </c>
      <c r="L2">
        <v>-7.2089247750411894E-2</v>
      </c>
      <c r="M2">
        <v>6.59566415944874E-3</v>
      </c>
      <c r="N2">
        <v>-0.18532398779329101</v>
      </c>
      <c r="O2">
        <v>-9.2081662465598305E-2</v>
      </c>
      <c r="P2">
        <v>9.5084432791718895E-2</v>
      </c>
      <c r="Q2">
        <v>1.4590032172127799E-2</v>
      </c>
      <c r="R2">
        <v>-3.6774444815835198E-3</v>
      </c>
    </row>
    <row r="3" spans="1:18" x14ac:dyDescent="0.2">
      <c r="A3" t="s">
        <v>1</v>
      </c>
      <c r="B3">
        <v>4.16004280791357E-2</v>
      </c>
      <c r="C3">
        <v>1</v>
      </c>
      <c r="D3">
        <v>8.8430944240576008E-3</v>
      </c>
      <c r="E3">
        <v>-0.19121712350315201</v>
      </c>
      <c r="F3">
        <v>7.9304398874101206E-2</v>
      </c>
      <c r="G3">
        <v>-0.14556874767939801</v>
      </c>
      <c r="H3">
        <v>0.20226089583229201</v>
      </c>
      <c r="I3">
        <v>8.9054749493411994E-2</v>
      </c>
      <c r="J3">
        <v>-2.9389012347275499E-2</v>
      </c>
      <c r="K3">
        <v>9.77163397938174E-2</v>
      </c>
      <c r="L3">
        <v>-4.0153428706182999E-2</v>
      </c>
      <c r="M3">
        <v>-9.5288653215813202E-2</v>
      </c>
      <c r="N3">
        <v>0.245060356560936</v>
      </c>
      <c r="O3">
        <v>-8.2437374423303192E-3</v>
      </c>
      <c r="P3">
        <v>-9.7612034200648498E-2</v>
      </c>
      <c r="Q3">
        <v>-0.14898016666396299</v>
      </c>
      <c r="R3">
        <v>-5.0510805125913702E-2</v>
      </c>
    </row>
    <row r="4" spans="1:18" x14ac:dyDescent="0.2">
      <c r="A4" t="s">
        <v>2</v>
      </c>
      <c r="B4">
        <v>-8.9998159743817002E-2</v>
      </c>
      <c r="C4">
        <v>8.8430944240576008E-3</v>
      </c>
      <c r="D4">
        <v>1</v>
      </c>
      <c r="E4">
        <v>0.106608077808398</v>
      </c>
      <c r="F4">
        <v>-0.26139951807404799</v>
      </c>
      <c r="G4">
        <v>3.8986672537092801E-2</v>
      </c>
      <c r="H4">
        <v>-6.3798506181761902E-2</v>
      </c>
      <c r="I4">
        <v>0.187550277057531</v>
      </c>
      <c r="J4">
        <v>0.22633608742436401</v>
      </c>
      <c r="K4">
        <v>7.2302311265651203E-2</v>
      </c>
      <c r="L4">
        <v>-2.3282893182925798E-2</v>
      </c>
      <c r="M4">
        <v>-6.4369002651413904E-2</v>
      </c>
      <c r="N4">
        <v>-0.157507434937075</v>
      </c>
      <c r="O4">
        <v>0.488450052822819</v>
      </c>
      <c r="P4">
        <v>3.0437599281273899E-2</v>
      </c>
      <c r="Q4">
        <v>3.80495344050173E-2</v>
      </c>
      <c r="R4">
        <v>-3.2056800539492399E-2</v>
      </c>
    </row>
    <row r="5" spans="1:18" x14ac:dyDescent="0.2">
      <c r="A5" t="s">
        <v>3</v>
      </c>
      <c r="B5">
        <v>6.5194304131210107E-2</v>
      </c>
      <c r="C5">
        <v>-0.19121712350315201</v>
      </c>
      <c r="D5">
        <v>0.106608077808398</v>
      </c>
      <c r="E5">
        <v>1</v>
      </c>
      <c r="F5">
        <v>-0.32848811431146302</v>
      </c>
      <c r="G5">
        <v>8.6124118381825897E-3</v>
      </c>
      <c r="H5">
        <v>0.117813605386512</v>
      </c>
      <c r="I5">
        <v>0.10815552951743999</v>
      </c>
      <c r="J5">
        <v>6.0569464450130603E-2</v>
      </c>
      <c r="K5">
        <v>1.5400207389493201E-2</v>
      </c>
      <c r="L5">
        <v>2.4768331052957698E-2</v>
      </c>
      <c r="M5">
        <v>7.4375425572148199E-2</v>
      </c>
      <c r="N5">
        <v>0.18537417769044801</v>
      </c>
      <c r="O5">
        <v>9.9443662626327006E-2</v>
      </c>
      <c r="P5">
        <v>-2.2350570798066401E-2</v>
      </c>
      <c r="Q5">
        <v>9.1721698275907208E-3</v>
      </c>
      <c r="R5">
        <v>-1.4865491765216701E-2</v>
      </c>
    </row>
    <row r="6" spans="1:18" x14ac:dyDescent="0.2">
      <c r="A6" t="s">
        <v>4</v>
      </c>
      <c r="B6">
        <v>4.5673285326242E-2</v>
      </c>
      <c r="C6">
        <v>7.9304398874101206E-2</v>
      </c>
      <c r="D6">
        <v>-0.26139951807404799</v>
      </c>
      <c r="E6">
        <v>-0.32848811431146302</v>
      </c>
      <c r="F6">
        <v>1</v>
      </c>
      <c r="G6">
        <v>-4.6369428449400799E-2</v>
      </c>
      <c r="H6">
        <v>5.1667026357896398E-2</v>
      </c>
      <c r="I6">
        <v>-0.150107865975593</v>
      </c>
      <c r="J6">
        <v>-0.21434054594745899</v>
      </c>
      <c r="K6">
        <v>3.4486099930585599E-3</v>
      </c>
      <c r="L6">
        <v>8.8927462987168897E-3</v>
      </c>
      <c r="M6">
        <v>-0.15714150165042001</v>
      </c>
      <c r="N6">
        <v>-3.1960955625838901E-2</v>
      </c>
      <c r="O6">
        <v>-0.154320247096769</v>
      </c>
      <c r="P6">
        <v>4.82474535983623E-2</v>
      </c>
      <c r="Q6">
        <v>-0.25392895404586602</v>
      </c>
      <c r="R6">
        <v>0.12640360730144901</v>
      </c>
    </row>
    <row r="7" spans="1:18" x14ac:dyDescent="0.2">
      <c r="A7" t="s">
        <v>5</v>
      </c>
      <c r="B7">
        <v>-0.17125771155376299</v>
      </c>
      <c r="C7">
        <v>-0.14556874767939801</v>
      </c>
      <c r="D7">
        <v>3.8986672537092801E-2</v>
      </c>
      <c r="E7">
        <v>8.6124118381825897E-3</v>
      </c>
      <c r="F7">
        <v>-4.6369428449400799E-2</v>
      </c>
      <c r="G7">
        <v>1</v>
      </c>
      <c r="H7">
        <v>-0.128977201879553</v>
      </c>
      <c r="I7">
        <v>4.7958895480873197E-2</v>
      </c>
      <c r="J7">
        <v>0.17900191309958699</v>
      </c>
      <c r="K7">
        <v>-7.9848227831739602E-2</v>
      </c>
      <c r="L7">
        <v>-0.25004168363062601</v>
      </c>
      <c r="M7">
        <v>-7.9087853506162098E-2</v>
      </c>
      <c r="N7">
        <v>-0.45542484555108798</v>
      </c>
      <c r="O7">
        <v>0.28108591227415303</v>
      </c>
      <c r="P7">
        <v>0.215554327111842</v>
      </c>
      <c r="Q7">
        <v>1.9316195426072501E-2</v>
      </c>
      <c r="R7">
        <v>-0.31793419974761999</v>
      </c>
    </row>
    <row r="8" spans="1:18" x14ac:dyDescent="0.2">
      <c r="A8" t="s">
        <v>6</v>
      </c>
      <c r="B8">
        <v>0.27382616671917598</v>
      </c>
      <c r="C8">
        <v>0.20226089583229201</v>
      </c>
      <c r="D8">
        <v>-6.3798506181761902E-2</v>
      </c>
      <c r="E8">
        <v>0.117813605386512</v>
      </c>
      <c r="F8">
        <v>5.1667026357896398E-2</v>
      </c>
      <c r="G8">
        <v>-0.128977201879553</v>
      </c>
      <c r="H8">
        <v>1</v>
      </c>
      <c r="I8">
        <v>-4.4055782462358202E-2</v>
      </c>
      <c r="J8">
        <v>1.53952929549355E-2</v>
      </c>
      <c r="K8">
        <v>8.3121492219266402E-2</v>
      </c>
      <c r="L8">
        <v>7.9891753236210603E-2</v>
      </c>
      <c r="M8">
        <v>4.6533395259009E-2</v>
      </c>
      <c r="N8">
        <v>-0.32962302868936899</v>
      </c>
      <c r="O8">
        <v>-1.25813904440676E-2</v>
      </c>
      <c r="P8">
        <v>2.3912728546662501E-2</v>
      </c>
      <c r="Q8">
        <v>-0.20916029089529301</v>
      </c>
      <c r="R8">
        <v>-2.2085575107080799E-2</v>
      </c>
    </row>
    <row r="9" spans="1:18" x14ac:dyDescent="0.2">
      <c r="A9" t="s">
        <v>7</v>
      </c>
      <c r="B9">
        <v>9.2059082899901404E-2</v>
      </c>
      <c r="C9">
        <v>8.9054749493411994E-2</v>
      </c>
      <c r="D9">
        <v>0.187550277057531</v>
      </c>
      <c r="E9">
        <v>0.10815552951743999</v>
      </c>
      <c r="F9">
        <v>-0.150107865975593</v>
      </c>
      <c r="G9">
        <v>4.7958895480873197E-2</v>
      </c>
      <c r="H9">
        <v>-4.4055782462358202E-2</v>
      </c>
      <c r="I9">
        <v>1</v>
      </c>
      <c r="J9">
        <v>6.8115108482974598E-2</v>
      </c>
      <c r="K9">
        <v>4.7206001115287298E-2</v>
      </c>
      <c r="L9">
        <v>4.1806897254714002E-2</v>
      </c>
      <c r="M9">
        <v>-0.17190885573711501</v>
      </c>
      <c r="N9">
        <v>2.8423816154318198E-3</v>
      </c>
      <c r="O9">
        <v>0.118363727436141</v>
      </c>
      <c r="P9">
        <v>7.9586268562523502E-2</v>
      </c>
      <c r="Q9">
        <v>-4.2735093399069501E-2</v>
      </c>
      <c r="R9">
        <v>-8.4067599352847702E-2</v>
      </c>
    </row>
    <row r="10" spans="1:18" x14ac:dyDescent="0.2">
      <c r="A10" t="s">
        <v>8</v>
      </c>
      <c r="B10">
        <v>-0.16014460855066701</v>
      </c>
      <c r="C10">
        <v>-2.9389012347275499E-2</v>
      </c>
      <c r="D10">
        <v>0.22633608742436401</v>
      </c>
      <c r="E10">
        <v>6.0569464450130603E-2</v>
      </c>
      <c r="F10">
        <v>-0.21434054594745899</v>
      </c>
      <c r="G10">
        <v>0.17900191309958699</v>
      </c>
      <c r="H10">
        <v>1.53952929549355E-2</v>
      </c>
      <c r="I10">
        <v>6.8115108482974598E-2</v>
      </c>
      <c r="J10">
        <v>1</v>
      </c>
      <c r="K10">
        <v>0.13298999796480501</v>
      </c>
      <c r="L10">
        <v>0.270492848178912</v>
      </c>
      <c r="M10">
        <v>-0.109700258985476</v>
      </c>
      <c r="N10">
        <v>-3.8012825139543502E-2</v>
      </c>
      <c r="O10">
        <v>0.20408429512734</v>
      </c>
      <c r="P10">
        <v>-5.4852515493328598E-2</v>
      </c>
      <c r="Q10">
        <v>3.2455675485405198E-2</v>
      </c>
      <c r="R10">
        <v>-0.108978617450723</v>
      </c>
    </row>
    <row r="11" spans="1:18" x14ac:dyDescent="0.2">
      <c r="A11" t="s">
        <v>9</v>
      </c>
      <c r="B11">
        <v>-4.3849837244889299E-2</v>
      </c>
      <c r="C11">
        <v>9.77163397938174E-2</v>
      </c>
      <c r="D11">
        <v>7.2302311265651203E-2</v>
      </c>
      <c r="E11">
        <v>1.5400207389493201E-2</v>
      </c>
      <c r="F11">
        <v>3.4486099930585599E-3</v>
      </c>
      <c r="G11">
        <v>-7.9848227831739602E-2</v>
      </c>
      <c r="H11">
        <v>8.3121492219266402E-2</v>
      </c>
      <c r="I11">
        <v>4.7206001115287298E-2</v>
      </c>
      <c r="J11">
        <v>0.13298999796480501</v>
      </c>
      <c r="K11">
        <v>1</v>
      </c>
      <c r="L11">
        <v>6.6247092753745199E-2</v>
      </c>
      <c r="M11">
        <v>4.1628927403736103E-2</v>
      </c>
      <c r="N11">
        <v>0.38685956853165399</v>
      </c>
      <c r="O11">
        <v>9.6595359742369005E-2</v>
      </c>
      <c r="P11">
        <v>8.8696695445360605E-3</v>
      </c>
      <c r="Q11">
        <v>5.8878125877109701E-2</v>
      </c>
      <c r="R11">
        <v>-7.0602527322691705E-2</v>
      </c>
    </row>
    <row r="12" spans="1:18" x14ac:dyDescent="0.2">
      <c r="A12" t="s">
        <v>10</v>
      </c>
      <c r="B12">
        <v>-7.2089247750411894E-2</v>
      </c>
      <c r="C12">
        <v>-4.0153428706182999E-2</v>
      </c>
      <c r="D12">
        <v>-2.3282893182925798E-2</v>
      </c>
      <c r="E12">
        <v>2.4768331052957698E-2</v>
      </c>
      <c r="F12">
        <v>8.8927462987168897E-3</v>
      </c>
      <c r="G12">
        <v>-0.25004168363062601</v>
      </c>
      <c r="H12">
        <v>7.9891753236210603E-2</v>
      </c>
      <c r="I12">
        <v>4.1806897254714002E-2</v>
      </c>
      <c r="J12">
        <v>0.270492848178912</v>
      </c>
      <c r="K12">
        <v>6.6247092753745199E-2</v>
      </c>
      <c r="L12">
        <v>1</v>
      </c>
      <c r="M12">
        <v>0.11924469537629299</v>
      </c>
      <c r="N12">
        <v>0.208168414354129</v>
      </c>
      <c r="O12">
        <v>9.2716109305438794E-3</v>
      </c>
      <c r="P12">
        <v>-0.25018452392599999</v>
      </c>
      <c r="Q12">
        <v>0.13887001616764499</v>
      </c>
      <c r="R12">
        <v>-7.4654347978792696E-2</v>
      </c>
    </row>
    <row r="13" spans="1:18" x14ac:dyDescent="0.2">
      <c r="A13" t="s">
        <v>11</v>
      </c>
      <c r="B13">
        <v>6.59566415944874E-3</v>
      </c>
      <c r="C13">
        <v>-9.5288653215813202E-2</v>
      </c>
      <c r="D13">
        <v>-6.4369002651413904E-2</v>
      </c>
      <c r="E13">
        <v>7.4375425572148199E-2</v>
      </c>
      <c r="F13">
        <v>-0.15714150165042001</v>
      </c>
      <c r="G13">
        <v>-7.9087853506162098E-2</v>
      </c>
      <c r="H13">
        <v>4.6533395259009E-2</v>
      </c>
      <c r="I13">
        <v>-0.17190885573711501</v>
      </c>
      <c r="J13">
        <v>-0.109700258985476</v>
      </c>
      <c r="K13">
        <v>4.1628927403736103E-2</v>
      </c>
      <c r="L13">
        <v>0.11924469537629299</v>
      </c>
      <c r="M13">
        <v>1</v>
      </c>
      <c r="N13">
        <v>0.14126151513502599</v>
      </c>
      <c r="O13">
        <v>-8.8805841595478802E-2</v>
      </c>
      <c r="P13">
        <v>-0.120376270946269</v>
      </c>
      <c r="Q13">
        <v>-8.6291382817474296E-2</v>
      </c>
      <c r="R13">
        <v>0.128968584751667</v>
      </c>
    </row>
    <row r="14" spans="1:18" x14ac:dyDescent="0.2">
      <c r="A14" t="s">
        <v>12</v>
      </c>
      <c r="B14">
        <v>-0.18532398779329101</v>
      </c>
      <c r="C14">
        <v>0.245060356560936</v>
      </c>
      <c r="D14">
        <v>-0.157507434937075</v>
      </c>
      <c r="E14">
        <v>0.18537417769044801</v>
      </c>
      <c r="F14">
        <v>-3.1960955625838901E-2</v>
      </c>
      <c r="G14">
        <v>-0.45542484555108798</v>
      </c>
      <c r="H14">
        <v>-0.32962302868936899</v>
      </c>
      <c r="I14">
        <v>2.8423816154318198E-3</v>
      </c>
      <c r="J14">
        <v>-3.8012825139543502E-2</v>
      </c>
      <c r="K14">
        <v>0.38685956853165399</v>
      </c>
      <c r="L14">
        <v>0.208168414354129</v>
      </c>
      <c r="M14">
        <v>0.14126151513502599</v>
      </c>
      <c r="N14">
        <v>1</v>
      </c>
      <c r="O14">
        <v>-0.22639899370566999</v>
      </c>
      <c r="P14">
        <v>-0.221593443415531</v>
      </c>
      <c r="Q14">
        <v>-0.19242163694655201</v>
      </c>
      <c r="R14">
        <v>7.8139390211680995E-2</v>
      </c>
    </row>
    <row r="15" spans="1:18" x14ac:dyDescent="0.2">
      <c r="A15" t="s">
        <v>13</v>
      </c>
      <c r="B15">
        <v>-9.2081662465598305E-2</v>
      </c>
      <c r="C15">
        <v>-8.2437374423303192E-3</v>
      </c>
      <c r="D15">
        <v>0.488450052822819</v>
      </c>
      <c r="E15">
        <v>9.9443662626327006E-2</v>
      </c>
      <c r="F15">
        <v>-0.154320247096769</v>
      </c>
      <c r="G15">
        <v>0.28108591227415303</v>
      </c>
      <c r="H15">
        <v>-1.25813904440676E-2</v>
      </c>
      <c r="I15">
        <v>0.118363727436141</v>
      </c>
      <c r="J15">
        <v>0.20408429512734</v>
      </c>
      <c r="K15">
        <v>9.6595359742369005E-2</v>
      </c>
      <c r="L15">
        <v>9.2716109305438794E-3</v>
      </c>
      <c r="M15">
        <v>-8.8805841595478802E-2</v>
      </c>
      <c r="N15">
        <v>-0.22639899370566999</v>
      </c>
      <c r="O15">
        <v>1</v>
      </c>
      <c r="P15">
        <v>-5.1020385499928302E-2</v>
      </c>
      <c r="Q15">
        <v>7.84302465180306E-2</v>
      </c>
      <c r="R15">
        <v>-3.51972900177491E-2</v>
      </c>
    </row>
    <row r="16" spans="1:18" x14ac:dyDescent="0.2">
      <c r="A16" t="s">
        <v>14</v>
      </c>
      <c r="B16">
        <v>9.5084432791718895E-2</v>
      </c>
      <c r="C16">
        <v>-9.7612034200648498E-2</v>
      </c>
      <c r="D16">
        <v>3.0437599281273899E-2</v>
      </c>
      <c r="E16">
        <v>-2.2350570798066401E-2</v>
      </c>
      <c r="F16">
        <v>4.82474535983623E-2</v>
      </c>
      <c r="G16">
        <v>0.215554327111842</v>
      </c>
      <c r="H16">
        <v>2.3912728546662501E-2</v>
      </c>
      <c r="I16">
        <v>7.9586268562523502E-2</v>
      </c>
      <c r="J16">
        <v>-5.4852515493328598E-2</v>
      </c>
      <c r="K16">
        <v>8.8696695445360605E-3</v>
      </c>
      <c r="L16">
        <v>-0.25018452392599999</v>
      </c>
      <c r="M16">
        <v>-0.120376270946269</v>
      </c>
      <c r="N16">
        <v>-0.221593443415531</v>
      </c>
      <c r="O16">
        <v>-5.1020385499928302E-2</v>
      </c>
      <c r="P16">
        <v>1</v>
      </c>
      <c r="Q16">
        <v>-1.1262233475379E-2</v>
      </c>
      <c r="R16">
        <v>1.2412187847833499E-2</v>
      </c>
    </row>
    <row r="17" spans="1:18" x14ac:dyDescent="0.2">
      <c r="A17" t="s">
        <v>15</v>
      </c>
      <c r="B17">
        <v>1.4590032172127799E-2</v>
      </c>
      <c r="C17">
        <v>-0.14898016666396299</v>
      </c>
      <c r="D17">
        <v>3.80495344050173E-2</v>
      </c>
      <c r="E17">
        <v>9.1721698275907208E-3</v>
      </c>
      <c r="F17">
        <v>-0.25392895404586602</v>
      </c>
      <c r="G17">
        <v>1.9316195426072501E-2</v>
      </c>
      <c r="H17">
        <v>-0.20916029089529301</v>
      </c>
      <c r="I17">
        <v>-4.2735093399069501E-2</v>
      </c>
      <c r="J17">
        <v>3.2455675485405198E-2</v>
      </c>
      <c r="K17">
        <v>5.8878125877109701E-2</v>
      </c>
      <c r="L17">
        <v>0.13887001616764499</v>
      </c>
      <c r="M17">
        <v>-8.6291382817474296E-2</v>
      </c>
      <c r="N17">
        <v>-0.19242163694655201</v>
      </c>
      <c r="O17">
        <v>7.84302465180306E-2</v>
      </c>
      <c r="P17">
        <v>-1.1262233475379E-2</v>
      </c>
      <c r="Q17">
        <v>1</v>
      </c>
      <c r="R17">
        <v>-3.1626141246847803E-2</v>
      </c>
    </row>
    <row r="18" spans="1:18" x14ac:dyDescent="0.2">
      <c r="A18" t="s">
        <v>16</v>
      </c>
      <c r="B18">
        <v>-3.6774444815835198E-3</v>
      </c>
      <c r="C18">
        <v>-5.0510805125913702E-2</v>
      </c>
      <c r="D18">
        <v>-3.2056800539492399E-2</v>
      </c>
      <c r="E18">
        <v>-1.4865491765216701E-2</v>
      </c>
      <c r="F18">
        <v>0.12640360730144901</v>
      </c>
      <c r="G18">
        <v>-0.31793419974761999</v>
      </c>
      <c r="H18">
        <v>-2.2085575107080799E-2</v>
      </c>
      <c r="I18">
        <v>-8.4067599352847702E-2</v>
      </c>
      <c r="J18">
        <v>-0.108978617450723</v>
      </c>
      <c r="K18">
        <v>-7.0602527322691705E-2</v>
      </c>
      <c r="L18">
        <v>-7.4654347978792696E-2</v>
      </c>
      <c r="M18">
        <v>0.128968584751667</v>
      </c>
      <c r="N18">
        <v>7.8139390211680995E-2</v>
      </c>
      <c r="O18">
        <v>-3.51972900177491E-2</v>
      </c>
      <c r="P18">
        <v>1.2412187847833499E-2</v>
      </c>
      <c r="Q18">
        <v>-3.1626141246847803E-2</v>
      </c>
      <c r="R18">
        <v>1</v>
      </c>
    </row>
    <row r="19" spans="1:18" x14ac:dyDescent="0.2">
      <c r="B19">
        <f>ABS(B18)</f>
        <v>3.6774444815835198E-3</v>
      </c>
      <c r="C19">
        <f t="shared" ref="C19:M19" si="0">ABS(C18)</f>
        <v>5.0510805125913702E-2</v>
      </c>
      <c r="D19">
        <f t="shared" si="0"/>
        <v>3.2056800539492399E-2</v>
      </c>
      <c r="E19">
        <f t="shared" si="0"/>
        <v>1.4865491765216701E-2</v>
      </c>
      <c r="F19">
        <f t="shared" si="0"/>
        <v>0.12640360730144901</v>
      </c>
      <c r="G19">
        <f t="shared" si="0"/>
        <v>0.31793419974761999</v>
      </c>
      <c r="H19">
        <f t="shared" si="0"/>
        <v>2.2085575107080799E-2</v>
      </c>
      <c r="I19">
        <f t="shared" si="0"/>
        <v>8.4067599352847702E-2</v>
      </c>
      <c r="J19">
        <f t="shared" si="0"/>
        <v>0.108978617450723</v>
      </c>
      <c r="K19">
        <f t="shared" si="0"/>
        <v>7.0602527322691705E-2</v>
      </c>
      <c r="L19">
        <f t="shared" si="0"/>
        <v>7.4654347978792696E-2</v>
      </c>
      <c r="M19">
        <f t="shared" si="0"/>
        <v>0.128968584751667</v>
      </c>
      <c r="N19">
        <f>ABS(N18)</f>
        <v>7.8139390211680995E-2</v>
      </c>
      <c r="O19">
        <f t="shared" ref="O19" si="1">ABS(O18)</f>
        <v>3.51972900177491E-2</v>
      </c>
      <c r="P19">
        <f t="shared" ref="P19" si="2">ABS(P18)</f>
        <v>1.2412187847833499E-2</v>
      </c>
      <c r="Q19">
        <f t="shared" ref="Q19" si="3">ABS(Q18)</f>
        <v>3.1626141246847803E-2</v>
      </c>
    </row>
    <row r="20" spans="1:18" x14ac:dyDescent="0.2">
      <c r="B20" t="str">
        <f>IF(B18&gt;0,"+","-")</f>
        <v>-</v>
      </c>
      <c r="C20" t="str">
        <f t="shared" ref="C20:M20" si="4">IF(C18&gt;0,"+","-")</f>
        <v>-</v>
      </c>
      <c r="D20" t="str">
        <f t="shared" si="4"/>
        <v>-</v>
      </c>
      <c r="E20" t="str">
        <f t="shared" si="4"/>
        <v>-</v>
      </c>
      <c r="F20" t="str">
        <f t="shared" si="4"/>
        <v>+</v>
      </c>
      <c r="G20" t="str">
        <f t="shared" si="4"/>
        <v>-</v>
      </c>
      <c r="H20" t="str">
        <f t="shared" si="4"/>
        <v>-</v>
      </c>
      <c r="I20" t="str">
        <f t="shared" si="4"/>
        <v>-</v>
      </c>
      <c r="J20" t="str">
        <f t="shared" si="4"/>
        <v>-</v>
      </c>
      <c r="K20" t="str">
        <f t="shared" si="4"/>
        <v>-</v>
      </c>
      <c r="L20" t="str">
        <f t="shared" si="4"/>
        <v>-</v>
      </c>
      <c r="M20" t="str">
        <f t="shared" si="4"/>
        <v>+</v>
      </c>
      <c r="N20" t="str">
        <f>IF(N18&gt;0,"+","-")</f>
        <v>+</v>
      </c>
      <c r="O20" t="str">
        <f t="shared" ref="O20:Q20" si="5">IF(O18&gt;0,"+","-")</f>
        <v>-</v>
      </c>
      <c r="P20" t="str">
        <f t="shared" si="5"/>
        <v>+</v>
      </c>
      <c r="Q20" t="str">
        <f t="shared" si="5"/>
        <v>-</v>
      </c>
    </row>
  </sheetData>
  <conditionalFormatting sqref="B19:Q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Q20">
    <cfRule type="cellIs" dxfId="7" priority="1" operator="equal">
      <formula>"+"</formula>
    </cfRule>
    <cfRule type="cellIs" dxfId="6" priority="2" operator="equal">
      <formula>"-"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"/>
  <sheetViews>
    <sheetView workbookViewId="0">
      <selection activeCell="A19" sqref="A19:XFD20"/>
    </sheetView>
  </sheetViews>
  <sheetFormatPr baseColWidth="10" defaultRowHeight="16" x14ac:dyDescent="0.2"/>
  <sheetData>
    <row r="1" spans="1:1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21</v>
      </c>
    </row>
    <row r="2" spans="1:18" x14ac:dyDescent="0.2">
      <c r="A2" t="s">
        <v>0</v>
      </c>
      <c r="B2">
        <v>1</v>
      </c>
      <c r="C2">
        <v>4.16004280791357E-2</v>
      </c>
      <c r="D2">
        <v>-8.9998159743817002E-2</v>
      </c>
      <c r="E2">
        <v>6.5194304131210107E-2</v>
      </c>
      <c r="F2">
        <v>4.5673285326242E-2</v>
      </c>
      <c r="G2">
        <v>-0.17125771155376299</v>
      </c>
      <c r="H2">
        <v>0.27382616671917598</v>
      </c>
      <c r="I2">
        <v>9.2059082899901404E-2</v>
      </c>
      <c r="J2">
        <v>-0.16014460855066701</v>
      </c>
      <c r="K2">
        <v>-4.3849837244889299E-2</v>
      </c>
      <c r="L2">
        <v>-7.2089247750411894E-2</v>
      </c>
      <c r="M2">
        <v>6.59566415944874E-3</v>
      </c>
      <c r="N2">
        <v>-0.18532398779329101</v>
      </c>
      <c r="O2">
        <v>-9.2081662465598305E-2</v>
      </c>
      <c r="P2">
        <v>9.5084432791718895E-2</v>
      </c>
      <c r="Q2">
        <v>1.4590032172127799E-2</v>
      </c>
      <c r="R2">
        <v>0.16714463077644701</v>
      </c>
    </row>
    <row r="3" spans="1:18" x14ac:dyDescent="0.2">
      <c r="A3" t="s">
        <v>1</v>
      </c>
      <c r="B3">
        <v>4.16004280791357E-2</v>
      </c>
      <c r="C3">
        <v>1</v>
      </c>
      <c r="D3">
        <v>8.8430944240576008E-3</v>
      </c>
      <c r="E3">
        <v>-0.19121712350315201</v>
      </c>
      <c r="F3">
        <v>7.9304398874101206E-2</v>
      </c>
      <c r="G3">
        <v>-0.14556874767939801</v>
      </c>
      <c r="H3">
        <v>0.20226089583229201</v>
      </c>
      <c r="I3">
        <v>8.9054749493411994E-2</v>
      </c>
      <c r="J3">
        <v>-2.9389012347275499E-2</v>
      </c>
      <c r="K3">
        <v>9.77163397938174E-2</v>
      </c>
      <c r="L3">
        <v>-4.0153428706182999E-2</v>
      </c>
      <c r="M3">
        <v>-9.5288653215813202E-2</v>
      </c>
      <c r="N3">
        <v>0.245060356560936</v>
      </c>
      <c r="O3">
        <v>-8.2437374423303192E-3</v>
      </c>
      <c r="P3">
        <v>-9.7612034200648498E-2</v>
      </c>
      <c r="Q3">
        <v>-0.14898016666396299</v>
      </c>
      <c r="R3">
        <v>4.1753571275675201E-2</v>
      </c>
    </row>
    <row r="4" spans="1:18" x14ac:dyDescent="0.2">
      <c r="A4" t="s">
        <v>2</v>
      </c>
      <c r="B4">
        <v>-8.9998159743817002E-2</v>
      </c>
      <c r="C4">
        <v>8.8430944240576008E-3</v>
      </c>
      <c r="D4">
        <v>1</v>
      </c>
      <c r="E4">
        <v>0.106608077808398</v>
      </c>
      <c r="F4">
        <v>-0.26139951807404799</v>
      </c>
      <c r="G4">
        <v>3.8986672537092801E-2</v>
      </c>
      <c r="H4">
        <v>-6.3798506181761902E-2</v>
      </c>
      <c r="I4">
        <v>0.187550277057531</v>
      </c>
      <c r="J4">
        <v>0.22633608742436401</v>
      </c>
      <c r="K4">
        <v>7.2302311265651203E-2</v>
      </c>
      <c r="L4">
        <v>-2.3282893182925798E-2</v>
      </c>
      <c r="M4">
        <v>-6.4369002651413904E-2</v>
      </c>
      <c r="N4">
        <v>-0.157507434937075</v>
      </c>
      <c r="O4">
        <v>0.488450052822819</v>
      </c>
      <c r="P4">
        <v>3.0437599281273899E-2</v>
      </c>
      <c r="Q4">
        <v>3.80495344050173E-2</v>
      </c>
      <c r="R4">
        <v>8.8719610717630501E-2</v>
      </c>
    </row>
    <row r="5" spans="1:18" x14ac:dyDescent="0.2">
      <c r="A5" t="s">
        <v>3</v>
      </c>
      <c r="B5">
        <v>6.5194304131210107E-2</v>
      </c>
      <c r="C5">
        <v>-0.19121712350315201</v>
      </c>
      <c r="D5">
        <v>0.106608077808398</v>
      </c>
      <c r="E5">
        <v>1</v>
      </c>
      <c r="F5">
        <v>-0.32848811431146302</v>
      </c>
      <c r="G5">
        <v>8.6124118381825897E-3</v>
      </c>
      <c r="H5">
        <v>0.117813605386512</v>
      </c>
      <c r="I5">
        <v>0.10815552951743999</v>
      </c>
      <c r="J5">
        <v>6.0569464450130603E-2</v>
      </c>
      <c r="K5">
        <v>1.5400207389493201E-2</v>
      </c>
      <c r="L5">
        <v>2.4768331052957698E-2</v>
      </c>
      <c r="M5">
        <v>7.4375425572148199E-2</v>
      </c>
      <c r="N5">
        <v>0.18537417769044801</v>
      </c>
      <c r="O5">
        <v>9.9443662626327006E-2</v>
      </c>
      <c r="P5">
        <v>-2.2350570798066401E-2</v>
      </c>
      <c r="Q5">
        <v>9.1721698275907208E-3</v>
      </c>
      <c r="R5">
        <v>-4.8532167335528899E-4</v>
      </c>
    </row>
    <row r="6" spans="1:18" x14ac:dyDescent="0.2">
      <c r="A6" t="s">
        <v>4</v>
      </c>
      <c r="B6">
        <v>4.5673285326242E-2</v>
      </c>
      <c r="C6">
        <v>7.9304398874101206E-2</v>
      </c>
      <c r="D6">
        <v>-0.26139951807404799</v>
      </c>
      <c r="E6">
        <v>-0.32848811431146302</v>
      </c>
      <c r="F6">
        <v>1</v>
      </c>
      <c r="G6">
        <v>-4.6369428449400799E-2</v>
      </c>
      <c r="H6">
        <v>5.1667026357896398E-2</v>
      </c>
      <c r="I6">
        <v>-0.150107865975593</v>
      </c>
      <c r="J6">
        <v>-0.21434054594745899</v>
      </c>
      <c r="K6">
        <v>3.4486099930585599E-3</v>
      </c>
      <c r="L6">
        <v>8.8927462987168897E-3</v>
      </c>
      <c r="M6">
        <v>-0.15714150165042001</v>
      </c>
      <c r="N6">
        <v>-3.1960955625838901E-2</v>
      </c>
      <c r="O6">
        <v>-0.154320247096769</v>
      </c>
      <c r="P6">
        <v>4.82474535983623E-2</v>
      </c>
      <c r="Q6">
        <v>-0.25392895404586602</v>
      </c>
      <c r="R6">
        <v>-0.106357472343638</v>
      </c>
    </row>
    <row r="7" spans="1:18" x14ac:dyDescent="0.2">
      <c r="A7" t="s">
        <v>5</v>
      </c>
      <c r="B7">
        <v>-0.17125771155376299</v>
      </c>
      <c r="C7">
        <v>-0.14556874767939801</v>
      </c>
      <c r="D7">
        <v>3.8986672537092801E-2</v>
      </c>
      <c r="E7">
        <v>8.6124118381825897E-3</v>
      </c>
      <c r="F7">
        <v>-4.6369428449400799E-2</v>
      </c>
      <c r="G7">
        <v>1</v>
      </c>
      <c r="H7">
        <v>-0.128977201879553</v>
      </c>
      <c r="I7">
        <v>4.7958895480873197E-2</v>
      </c>
      <c r="J7">
        <v>0.17900191309958699</v>
      </c>
      <c r="K7">
        <v>-7.9848227831739602E-2</v>
      </c>
      <c r="L7">
        <v>-0.25004168363062601</v>
      </c>
      <c r="M7">
        <v>-7.9087853506162098E-2</v>
      </c>
      <c r="N7">
        <v>-0.45542484555108798</v>
      </c>
      <c r="O7">
        <v>0.28108591227415303</v>
      </c>
      <c r="P7">
        <v>0.215554327111842</v>
      </c>
      <c r="Q7">
        <v>1.9316195426072501E-2</v>
      </c>
      <c r="R7">
        <v>4.9709757187193997E-2</v>
      </c>
    </row>
    <row r="8" spans="1:18" x14ac:dyDescent="0.2">
      <c r="A8" t="s">
        <v>6</v>
      </c>
      <c r="B8">
        <v>0.27382616671917598</v>
      </c>
      <c r="C8">
        <v>0.20226089583229201</v>
      </c>
      <c r="D8">
        <v>-6.3798506181761902E-2</v>
      </c>
      <c r="E8">
        <v>0.117813605386512</v>
      </c>
      <c r="F8">
        <v>5.1667026357896398E-2</v>
      </c>
      <c r="G8">
        <v>-0.128977201879553</v>
      </c>
      <c r="H8">
        <v>1</v>
      </c>
      <c r="I8">
        <v>-4.4055782462358202E-2</v>
      </c>
      <c r="J8">
        <v>1.53952929549355E-2</v>
      </c>
      <c r="K8">
        <v>8.3121492219266402E-2</v>
      </c>
      <c r="L8">
        <v>7.9891753236210603E-2</v>
      </c>
      <c r="M8">
        <v>4.6533395259009E-2</v>
      </c>
      <c r="N8">
        <v>-0.32962302868936899</v>
      </c>
      <c r="O8">
        <v>-1.25813904440676E-2</v>
      </c>
      <c r="P8">
        <v>2.3912728546662501E-2</v>
      </c>
      <c r="Q8">
        <v>-0.20916029089529301</v>
      </c>
      <c r="R8">
        <v>-0.19598130917906101</v>
      </c>
    </row>
    <row r="9" spans="1:18" x14ac:dyDescent="0.2">
      <c r="A9" t="s">
        <v>7</v>
      </c>
      <c r="B9">
        <v>9.2059082899901404E-2</v>
      </c>
      <c r="C9">
        <v>8.9054749493411994E-2</v>
      </c>
      <c r="D9">
        <v>0.187550277057531</v>
      </c>
      <c r="E9">
        <v>0.10815552951743999</v>
      </c>
      <c r="F9">
        <v>-0.150107865975593</v>
      </c>
      <c r="G9">
        <v>4.7958895480873197E-2</v>
      </c>
      <c r="H9">
        <v>-4.4055782462358202E-2</v>
      </c>
      <c r="I9">
        <v>1</v>
      </c>
      <c r="J9">
        <v>6.8115108482974598E-2</v>
      </c>
      <c r="K9">
        <v>4.7206001115287298E-2</v>
      </c>
      <c r="L9">
        <v>4.1806897254714002E-2</v>
      </c>
      <c r="M9">
        <v>-0.17190885573711501</v>
      </c>
      <c r="N9">
        <v>2.8423816154318198E-3</v>
      </c>
      <c r="O9">
        <v>0.118363727436141</v>
      </c>
      <c r="P9">
        <v>7.9586268562523502E-2</v>
      </c>
      <c r="Q9">
        <v>-4.2735093399069501E-2</v>
      </c>
      <c r="R9">
        <v>1.3099952224839499E-2</v>
      </c>
    </row>
    <row r="10" spans="1:18" x14ac:dyDescent="0.2">
      <c r="A10" t="s">
        <v>8</v>
      </c>
      <c r="B10">
        <v>-0.16014460855066701</v>
      </c>
      <c r="C10">
        <v>-2.9389012347275499E-2</v>
      </c>
      <c r="D10">
        <v>0.22633608742436401</v>
      </c>
      <c r="E10">
        <v>6.0569464450130603E-2</v>
      </c>
      <c r="F10">
        <v>-0.21434054594745899</v>
      </c>
      <c r="G10">
        <v>0.17900191309958699</v>
      </c>
      <c r="H10">
        <v>1.53952929549355E-2</v>
      </c>
      <c r="I10">
        <v>6.8115108482974598E-2</v>
      </c>
      <c r="J10">
        <v>1</v>
      </c>
      <c r="K10">
        <v>0.13298999796480501</v>
      </c>
      <c r="L10">
        <v>0.270492848178912</v>
      </c>
      <c r="M10">
        <v>-0.109700258985476</v>
      </c>
      <c r="N10">
        <v>-3.8012825139543502E-2</v>
      </c>
      <c r="O10">
        <v>0.20408429512734</v>
      </c>
      <c r="P10">
        <v>-5.4852515493328598E-2</v>
      </c>
      <c r="Q10">
        <v>3.2455675485405198E-2</v>
      </c>
      <c r="R10">
        <v>3.6902176168752002E-3</v>
      </c>
    </row>
    <row r="11" spans="1:18" x14ac:dyDescent="0.2">
      <c r="A11" t="s">
        <v>9</v>
      </c>
      <c r="B11">
        <v>-4.3849837244889299E-2</v>
      </c>
      <c r="C11">
        <v>9.77163397938174E-2</v>
      </c>
      <c r="D11">
        <v>7.2302311265651203E-2</v>
      </c>
      <c r="E11">
        <v>1.5400207389493201E-2</v>
      </c>
      <c r="F11">
        <v>3.4486099930585599E-3</v>
      </c>
      <c r="G11">
        <v>-7.9848227831739602E-2</v>
      </c>
      <c r="H11">
        <v>8.3121492219266402E-2</v>
      </c>
      <c r="I11">
        <v>4.7206001115287298E-2</v>
      </c>
      <c r="J11">
        <v>0.13298999796480501</v>
      </c>
      <c r="K11">
        <v>1</v>
      </c>
      <c r="L11">
        <v>6.6247092753745199E-2</v>
      </c>
      <c r="M11">
        <v>4.1628927403736103E-2</v>
      </c>
      <c r="N11">
        <v>0.38685956853165399</v>
      </c>
      <c r="O11">
        <v>9.6595359742369005E-2</v>
      </c>
      <c r="P11">
        <v>8.8696695445360605E-3</v>
      </c>
      <c r="Q11">
        <v>5.8878125877109701E-2</v>
      </c>
      <c r="R11">
        <v>7.6851927548474905E-2</v>
      </c>
    </row>
    <row r="12" spans="1:18" x14ac:dyDescent="0.2">
      <c r="A12" t="s">
        <v>10</v>
      </c>
      <c r="B12">
        <v>-7.2089247750411894E-2</v>
      </c>
      <c r="C12">
        <v>-4.0153428706182999E-2</v>
      </c>
      <c r="D12">
        <v>-2.3282893182925798E-2</v>
      </c>
      <c r="E12">
        <v>2.4768331052957698E-2</v>
      </c>
      <c r="F12">
        <v>8.8927462987168897E-3</v>
      </c>
      <c r="G12">
        <v>-0.25004168363062601</v>
      </c>
      <c r="H12">
        <v>7.9891753236210603E-2</v>
      </c>
      <c r="I12">
        <v>4.1806897254714002E-2</v>
      </c>
      <c r="J12">
        <v>0.270492848178912</v>
      </c>
      <c r="K12">
        <v>6.6247092753745199E-2</v>
      </c>
      <c r="L12">
        <v>1</v>
      </c>
      <c r="M12">
        <v>0.11924469537629299</v>
      </c>
      <c r="N12">
        <v>0.208168414354129</v>
      </c>
      <c r="O12">
        <v>9.2716109305438794E-3</v>
      </c>
      <c r="P12">
        <v>-0.25018452392599999</v>
      </c>
      <c r="Q12">
        <v>0.13887001616764499</v>
      </c>
      <c r="R12">
        <v>-4.5741891256721401E-2</v>
      </c>
    </row>
    <row r="13" spans="1:18" x14ac:dyDescent="0.2">
      <c r="A13" t="s">
        <v>11</v>
      </c>
      <c r="B13">
        <v>6.59566415944874E-3</v>
      </c>
      <c r="C13">
        <v>-9.5288653215813202E-2</v>
      </c>
      <c r="D13">
        <v>-6.4369002651413904E-2</v>
      </c>
      <c r="E13">
        <v>7.4375425572148199E-2</v>
      </c>
      <c r="F13">
        <v>-0.15714150165042001</v>
      </c>
      <c r="G13">
        <v>-7.9087853506162098E-2</v>
      </c>
      <c r="H13">
        <v>4.6533395259009E-2</v>
      </c>
      <c r="I13">
        <v>-0.17190885573711501</v>
      </c>
      <c r="J13">
        <v>-0.109700258985476</v>
      </c>
      <c r="K13">
        <v>4.1628927403736103E-2</v>
      </c>
      <c r="L13">
        <v>0.11924469537629299</v>
      </c>
      <c r="M13">
        <v>1</v>
      </c>
      <c r="N13">
        <v>0.14126151513502599</v>
      </c>
      <c r="O13">
        <v>-8.8805841595478802E-2</v>
      </c>
      <c r="P13">
        <v>-0.120376270946269</v>
      </c>
      <c r="Q13">
        <v>-8.6291382817474296E-2</v>
      </c>
      <c r="R13">
        <v>1.6360078247112199E-2</v>
      </c>
    </row>
    <row r="14" spans="1:18" x14ac:dyDescent="0.2">
      <c r="A14" t="s">
        <v>12</v>
      </c>
      <c r="B14">
        <v>-0.18532398779329101</v>
      </c>
      <c r="C14">
        <v>0.245060356560936</v>
      </c>
      <c r="D14">
        <v>-0.157507434937075</v>
      </c>
      <c r="E14">
        <v>0.18537417769044801</v>
      </c>
      <c r="F14">
        <v>-3.1960955625838901E-2</v>
      </c>
      <c r="G14">
        <v>-0.45542484555108798</v>
      </c>
      <c r="H14">
        <v>-0.32962302868936899</v>
      </c>
      <c r="I14">
        <v>2.8423816154318198E-3</v>
      </c>
      <c r="J14">
        <v>-3.8012825139543502E-2</v>
      </c>
      <c r="K14">
        <v>0.38685956853165399</v>
      </c>
      <c r="L14">
        <v>0.208168414354129</v>
      </c>
      <c r="M14">
        <v>0.14126151513502599</v>
      </c>
      <c r="N14">
        <v>1</v>
      </c>
      <c r="O14">
        <v>-0.22639899370566999</v>
      </c>
      <c r="P14">
        <v>-0.221593443415531</v>
      </c>
      <c r="Q14">
        <v>-0.19242163694655201</v>
      </c>
      <c r="R14">
        <v>-5.4265759971265995E-4</v>
      </c>
    </row>
    <row r="15" spans="1:18" x14ac:dyDescent="0.2">
      <c r="A15" t="s">
        <v>13</v>
      </c>
      <c r="B15">
        <v>-9.2081662465598305E-2</v>
      </c>
      <c r="C15">
        <v>-8.2437374423303192E-3</v>
      </c>
      <c r="D15">
        <v>0.488450052822819</v>
      </c>
      <c r="E15">
        <v>9.9443662626327006E-2</v>
      </c>
      <c r="F15">
        <v>-0.154320247096769</v>
      </c>
      <c r="G15">
        <v>0.28108591227415303</v>
      </c>
      <c r="H15">
        <v>-1.25813904440676E-2</v>
      </c>
      <c r="I15">
        <v>0.118363727436141</v>
      </c>
      <c r="J15">
        <v>0.20408429512734</v>
      </c>
      <c r="K15">
        <v>9.6595359742369005E-2</v>
      </c>
      <c r="L15">
        <v>9.2716109305438794E-3</v>
      </c>
      <c r="M15">
        <v>-8.8805841595478802E-2</v>
      </c>
      <c r="N15">
        <v>-0.22639899370566999</v>
      </c>
      <c r="O15">
        <v>1</v>
      </c>
      <c r="P15">
        <v>-5.1020385499928302E-2</v>
      </c>
      <c r="Q15">
        <v>7.84302465180306E-2</v>
      </c>
      <c r="R15">
        <v>6.9568886086364398E-2</v>
      </c>
    </row>
    <row r="16" spans="1:18" x14ac:dyDescent="0.2">
      <c r="A16" t="s">
        <v>14</v>
      </c>
      <c r="B16">
        <v>9.5084432791718895E-2</v>
      </c>
      <c r="C16">
        <v>-9.7612034200648498E-2</v>
      </c>
      <c r="D16">
        <v>3.0437599281273899E-2</v>
      </c>
      <c r="E16">
        <v>-2.2350570798066401E-2</v>
      </c>
      <c r="F16">
        <v>4.82474535983623E-2</v>
      </c>
      <c r="G16">
        <v>0.215554327111842</v>
      </c>
      <c r="H16">
        <v>2.3912728546662501E-2</v>
      </c>
      <c r="I16">
        <v>7.9586268562523502E-2</v>
      </c>
      <c r="J16">
        <v>-5.4852515493328598E-2</v>
      </c>
      <c r="K16">
        <v>8.8696695445360605E-3</v>
      </c>
      <c r="L16">
        <v>-0.25018452392599999</v>
      </c>
      <c r="M16">
        <v>-0.120376270946269</v>
      </c>
      <c r="N16">
        <v>-0.221593443415531</v>
      </c>
      <c r="O16">
        <v>-5.1020385499928302E-2</v>
      </c>
      <c r="P16">
        <v>1</v>
      </c>
      <c r="Q16">
        <v>-1.1262233475379E-2</v>
      </c>
      <c r="R16">
        <v>3.3679123706119501E-2</v>
      </c>
    </row>
    <row r="17" spans="1:18" x14ac:dyDescent="0.2">
      <c r="A17" t="s">
        <v>15</v>
      </c>
      <c r="B17">
        <v>1.4590032172127799E-2</v>
      </c>
      <c r="C17">
        <v>-0.14898016666396299</v>
      </c>
      <c r="D17">
        <v>3.80495344050173E-2</v>
      </c>
      <c r="E17">
        <v>9.1721698275907208E-3</v>
      </c>
      <c r="F17">
        <v>-0.25392895404586602</v>
      </c>
      <c r="G17">
        <v>1.9316195426072501E-2</v>
      </c>
      <c r="H17">
        <v>-0.20916029089529301</v>
      </c>
      <c r="I17">
        <v>-4.2735093399069501E-2</v>
      </c>
      <c r="J17">
        <v>3.2455675485405198E-2</v>
      </c>
      <c r="K17">
        <v>5.8878125877109701E-2</v>
      </c>
      <c r="L17">
        <v>0.13887001616764499</v>
      </c>
      <c r="M17">
        <v>-8.6291382817474296E-2</v>
      </c>
      <c r="N17">
        <v>-0.19242163694655201</v>
      </c>
      <c r="O17">
        <v>7.84302465180306E-2</v>
      </c>
      <c r="P17">
        <v>-1.1262233475379E-2</v>
      </c>
      <c r="Q17">
        <v>1</v>
      </c>
      <c r="R17">
        <v>-2.53213531529205E-2</v>
      </c>
    </row>
    <row r="18" spans="1:18" x14ac:dyDescent="0.2">
      <c r="A18" t="s">
        <v>21</v>
      </c>
      <c r="B18">
        <v>0.16714463077644701</v>
      </c>
      <c r="C18">
        <v>4.1753571275675201E-2</v>
      </c>
      <c r="D18">
        <v>8.8719610717630501E-2</v>
      </c>
      <c r="E18">
        <v>-4.8532167335528899E-4</v>
      </c>
      <c r="F18">
        <v>-0.106357472343638</v>
      </c>
      <c r="G18">
        <v>4.9709757187193997E-2</v>
      </c>
      <c r="H18">
        <v>-0.19598130917906101</v>
      </c>
      <c r="I18">
        <v>1.3099952224839499E-2</v>
      </c>
      <c r="J18">
        <v>3.6902176168752002E-3</v>
      </c>
      <c r="K18">
        <v>7.6851927548474905E-2</v>
      </c>
      <c r="L18">
        <v>-4.5741891256721401E-2</v>
      </c>
      <c r="M18">
        <v>1.6360078247112199E-2</v>
      </c>
      <c r="N18">
        <v>-5.4265759971265995E-4</v>
      </c>
      <c r="O18">
        <v>6.9568886086364398E-2</v>
      </c>
      <c r="P18">
        <v>3.3679123706119501E-2</v>
      </c>
      <c r="Q18">
        <v>-2.53213531529205E-2</v>
      </c>
      <c r="R18">
        <v>1</v>
      </c>
    </row>
    <row r="19" spans="1:18" x14ac:dyDescent="0.2">
      <c r="B19">
        <f>ABS(B18)</f>
        <v>0.16714463077644701</v>
      </c>
      <c r="C19">
        <f t="shared" ref="C19:M19" si="0">ABS(C18)</f>
        <v>4.1753571275675201E-2</v>
      </c>
      <c r="D19">
        <f t="shared" si="0"/>
        <v>8.8719610717630501E-2</v>
      </c>
      <c r="E19">
        <f t="shared" si="0"/>
        <v>4.8532167335528899E-4</v>
      </c>
      <c r="F19">
        <f t="shared" si="0"/>
        <v>0.106357472343638</v>
      </c>
      <c r="G19">
        <f t="shared" si="0"/>
        <v>4.9709757187193997E-2</v>
      </c>
      <c r="H19">
        <f t="shared" si="0"/>
        <v>0.19598130917906101</v>
      </c>
      <c r="I19">
        <f t="shared" si="0"/>
        <v>1.3099952224839499E-2</v>
      </c>
      <c r="J19">
        <f t="shared" si="0"/>
        <v>3.6902176168752002E-3</v>
      </c>
      <c r="K19">
        <f t="shared" si="0"/>
        <v>7.6851927548474905E-2</v>
      </c>
      <c r="L19">
        <f t="shared" si="0"/>
        <v>4.5741891256721401E-2</v>
      </c>
      <c r="M19">
        <f t="shared" si="0"/>
        <v>1.6360078247112199E-2</v>
      </c>
      <c r="N19">
        <f>ABS(N18)</f>
        <v>5.4265759971265995E-4</v>
      </c>
      <c r="O19">
        <f t="shared" ref="O19:Q19" si="1">ABS(O18)</f>
        <v>6.9568886086364398E-2</v>
      </c>
      <c r="P19">
        <f t="shared" si="1"/>
        <v>3.3679123706119501E-2</v>
      </c>
      <c r="Q19">
        <f t="shared" si="1"/>
        <v>2.53213531529205E-2</v>
      </c>
    </row>
    <row r="20" spans="1:18" x14ac:dyDescent="0.2">
      <c r="B20" t="str">
        <f>IF(B18&gt;0,"+","-")</f>
        <v>+</v>
      </c>
      <c r="C20" t="str">
        <f t="shared" ref="C20:M20" si="2">IF(C18&gt;0,"+","-")</f>
        <v>+</v>
      </c>
      <c r="D20" t="str">
        <f t="shared" si="2"/>
        <v>+</v>
      </c>
      <c r="E20" t="str">
        <f t="shared" si="2"/>
        <v>-</v>
      </c>
      <c r="F20" t="str">
        <f t="shared" si="2"/>
        <v>-</v>
      </c>
      <c r="G20" t="str">
        <f t="shared" si="2"/>
        <v>+</v>
      </c>
      <c r="H20" t="str">
        <f t="shared" si="2"/>
        <v>-</v>
      </c>
      <c r="I20" t="str">
        <f t="shared" si="2"/>
        <v>+</v>
      </c>
      <c r="J20" t="str">
        <f t="shared" si="2"/>
        <v>+</v>
      </c>
      <c r="K20" t="str">
        <f t="shared" si="2"/>
        <v>+</v>
      </c>
      <c r="L20" t="str">
        <f t="shared" si="2"/>
        <v>-</v>
      </c>
      <c r="M20" t="str">
        <f t="shared" si="2"/>
        <v>+</v>
      </c>
      <c r="N20" t="str">
        <f>IF(N18&gt;0,"+","-")</f>
        <v>-</v>
      </c>
      <c r="O20" t="str">
        <f t="shared" ref="O20:Q20" si="3">IF(O18&gt;0,"+","-")</f>
        <v>+</v>
      </c>
      <c r="P20" t="str">
        <f t="shared" si="3"/>
        <v>+</v>
      </c>
      <c r="Q20" t="str">
        <f t="shared" si="3"/>
        <v>-</v>
      </c>
    </row>
  </sheetData>
  <conditionalFormatting sqref="B19:Q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Q20">
    <cfRule type="cellIs" dxfId="3" priority="1" operator="equal">
      <formula>"+"</formula>
    </cfRule>
    <cfRule type="cellIs" dxfId="2" priority="2" operator="equal">
      <formula>"-"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"/>
  <sheetViews>
    <sheetView workbookViewId="0">
      <selection activeCell="C23" sqref="C23"/>
    </sheetView>
  </sheetViews>
  <sheetFormatPr baseColWidth="10" defaultRowHeight="16" x14ac:dyDescent="0.2"/>
  <sheetData>
    <row r="1" spans="1:1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20</v>
      </c>
    </row>
    <row r="2" spans="1:18" x14ac:dyDescent="0.2">
      <c r="A2" t="s">
        <v>0</v>
      </c>
      <c r="B2">
        <v>1</v>
      </c>
      <c r="C2">
        <v>4.16004280791357E-2</v>
      </c>
      <c r="D2">
        <v>-8.9998159743817002E-2</v>
      </c>
      <c r="E2">
        <v>6.5194304131210107E-2</v>
      </c>
      <c r="F2">
        <v>4.5673285326242E-2</v>
      </c>
      <c r="G2">
        <v>-0.17125771155376299</v>
      </c>
      <c r="H2">
        <v>0.27382616671917598</v>
      </c>
      <c r="I2">
        <v>9.2059082899901404E-2</v>
      </c>
      <c r="J2">
        <v>-0.16014460855066701</v>
      </c>
      <c r="K2">
        <v>-4.3849837244889299E-2</v>
      </c>
      <c r="L2">
        <v>-7.2089247750411894E-2</v>
      </c>
      <c r="M2">
        <v>6.59566415944874E-3</v>
      </c>
      <c r="N2">
        <v>-0.18532398779329101</v>
      </c>
      <c r="O2">
        <v>-9.2081662465598305E-2</v>
      </c>
      <c r="P2">
        <v>9.5084432791718895E-2</v>
      </c>
      <c r="Q2">
        <v>1.4590032172127799E-2</v>
      </c>
      <c r="R2">
        <v>0.166393776520599</v>
      </c>
    </row>
    <row r="3" spans="1:18" x14ac:dyDescent="0.2">
      <c r="A3" t="s">
        <v>1</v>
      </c>
      <c r="B3">
        <v>4.16004280791357E-2</v>
      </c>
      <c r="C3">
        <v>1</v>
      </c>
      <c r="D3">
        <v>8.8430944240576008E-3</v>
      </c>
      <c r="E3">
        <v>-0.19121712350315201</v>
      </c>
      <c r="F3">
        <v>7.9304398874101206E-2</v>
      </c>
      <c r="G3">
        <v>-0.14556874767939801</v>
      </c>
      <c r="H3">
        <v>0.20226089583229201</v>
      </c>
      <c r="I3">
        <v>8.9054749493411994E-2</v>
      </c>
      <c r="J3">
        <v>-2.9389012347275499E-2</v>
      </c>
      <c r="K3">
        <v>9.77163397938174E-2</v>
      </c>
      <c r="L3">
        <v>-4.0153428706182999E-2</v>
      </c>
      <c r="M3">
        <v>-9.5288653215813202E-2</v>
      </c>
      <c r="N3">
        <v>0.245060356560936</v>
      </c>
      <c r="O3">
        <v>-8.2437374423303192E-3</v>
      </c>
      <c r="P3">
        <v>-9.7612034200648498E-2</v>
      </c>
      <c r="Q3">
        <v>-0.14898016666396299</v>
      </c>
      <c r="R3">
        <v>-9.3914329780291402E-3</v>
      </c>
    </row>
    <row r="4" spans="1:18" x14ac:dyDescent="0.2">
      <c r="A4" t="s">
        <v>2</v>
      </c>
      <c r="B4">
        <v>-8.9998159743817002E-2</v>
      </c>
      <c r="C4">
        <v>8.8430944240576008E-3</v>
      </c>
      <c r="D4">
        <v>1</v>
      </c>
      <c r="E4">
        <v>0.106608077808398</v>
      </c>
      <c r="F4">
        <v>-0.26139951807404799</v>
      </c>
      <c r="G4">
        <v>3.8986672537092801E-2</v>
      </c>
      <c r="H4">
        <v>-6.3798506181761902E-2</v>
      </c>
      <c r="I4">
        <v>0.187550277057531</v>
      </c>
      <c r="J4">
        <v>0.22633608742436401</v>
      </c>
      <c r="K4">
        <v>7.2302311265651203E-2</v>
      </c>
      <c r="L4">
        <v>-2.3282893182925798E-2</v>
      </c>
      <c r="M4">
        <v>-6.4369002651413904E-2</v>
      </c>
      <c r="N4">
        <v>-0.157507434937075</v>
      </c>
      <c r="O4">
        <v>0.488450052822819</v>
      </c>
      <c r="P4">
        <v>3.0437599281273899E-2</v>
      </c>
      <c r="Q4">
        <v>3.80495344050173E-2</v>
      </c>
      <c r="R4">
        <v>-9.4057502795165102E-2</v>
      </c>
    </row>
    <row r="5" spans="1:18" x14ac:dyDescent="0.2">
      <c r="A5" t="s">
        <v>3</v>
      </c>
      <c r="B5">
        <v>6.5194304131210107E-2</v>
      </c>
      <c r="C5">
        <v>-0.19121712350315201</v>
      </c>
      <c r="D5">
        <v>0.106608077808398</v>
      </c>
      <c r="E5">
        <v>1</v>
      </c>
      <c r="F5">
        <v>-0.32848811431146302</v>
      </c>
      <c r="G5">
        <v>8.6124118381825897E-3</v>
      </c>
      <c r="H5">
        <v>0.117813605386512</v>
      </c>
      <c r="I5">
        <v>0.10815552951743999</v>
      </c>
      <c r="J5">
        <v>6.0569464450130603E-2</v>
      </c>
      <c r="K5">
        <v>1.5400207389493201E-2</v>
      </c>
      <c r="L5">
        <v>2.4768331052957698E-2</v>
      </c>
      <c r="M5">
        <v>7.4375425572148199E-2</v>
      </c>
      <c r="N5">
        <v>0.18537417769044801</v>
      </c>
      <c r="O5">
        <v>9.9443662626327006E-2</v>
      </c>
      <c r="P5">
        <v>-2.2350570798066401E-2</v>
      </c>
      <c r="Q5">
        <v>9.1721698275907208E-3</v>
      </c>
      <c r="R5">
        <v>4.2561814834169001E-2</v>
      </c>
    </row>
    <row r="6" spans="1:18" x14ac:dyDescent="0.2">
      <c r="A6" t="s">
        <v>4</v>
      </c>
      <c r="B6">
        <v>4.5673285326242E-2</v>
      </c>
      <c r="C6">
        <v>7.9304398874101206E-2</v>
      </c>
      <c r="D6">
        <v>-0.26139951807404799</v>
      </c>
      <c r="E6">
        <v>-0.32848811431146302</v>
      </c>
      <c r="F6">
        <v>1</v>
      </c>
      <c r="G6">
        <v>-4.6369428449400799E-2</v>
      </c>
      <c r="H6">
        <v>5.1667026357896398E-2</v>
      </c>
      <c r="I6">
        <v>-0.150107865975593</v>
      </c>
      <c r="J6">
        <v>-0.21434054594745899</v>
      </c>
      <c r="K6">
        <v>3.4486099930585599E-3</v>
      </c>
      <c r="L6">
        <v>8.8927462987168897E-3</v>
      </c>
      <c r="M6">
        <v>-0.15714150165042001</v>
      </c>
      <c r="N6">
        <v>-3.1960955625838901E-2</v>
      </c>
      <c r="O6">
        <v>-0.154320247096769</v>
      </c>
      <c r="P6">
        <v>4.82474535983623E-2</v>
      </c>
      <c r="Q6">
        <v>-0.25392895404586602</v>
      </c>
      <c r="R6">
        <v>-3.4997996918740303E-2</v>
      </c>
    </row>
    <row r="7" spans="1:18" x14ac:dyDescent="0.2">
      <c r="A7" t="s">
        <v>5</v>
      </c>
      <c r="B7">
        <v>-0.17125771155376299</v>
      </c>
      <c r="C7">
        <v>-0.14556874767939801</v>
      </c>
      <c r="D7">
        <v>3.8986672537092801E-2</v>
      </c>
      <c r="E7">
        <v>8.6124118381825897E-3</v>
      </c>
      <c r="F7">
        <v>-4.6369428449400799E-2</v>
      </c>
      <c r="G7">
        <v>1</v>
      </c>
      <c r="H7">
        <v>-0.128977201879553</v>
      </c>
      <c r="I7">
        <v>4.7958895480873197E-2</v>
      </c>
      <c r="J7">
        <v>0.17900191309958699</v>
      </c>
      <c r="K7">
        <v>-7.9848227831739602E-2</v>
      </c>
      <c r="L7">
        <v>-0.25004168363062601</v>
      </c>
      <c r="M7">
        <v>-7.9087853506162098E-2</v>
      </c>
      <c r="N7">
        <v>-0.45542484555108798</v>
      </c>
      <c r="O7">
        <v>0.28108591227415303</v>
      </c>
      <c r="P7">
        <v>0.215554327111842</v>
      </c>
      <c r="Q7">
        <v>1.9316195426072501E-2</v>
      </c>
      <c r="R7">
        <v>2.0549342242573501E-2</v>
      </c>
    </row>
    <row r="8" spans="1:18" x14ac:dyDescent="0.2">
      <c r="A8" t="s">
        <v>6</v>
      </c>
      <c r="B8">
        <v>0.27382616671917598</v>
      </c>
      <c r="C8">
        <v>0.20226089583229201</v>
      </c>
      <c r="D8">
        <v>-6.3798506181761902E-2</v>
      </c>
      <c r="E8">
        <v>0.117813605386512</v>
      </c>
      <c r="F8">
        <v>5.1667026357896398E-2</v>
      </c>
      <c r="G8">
        <v>-0.128977201879553</v>
      </c>
      <c r="H8">
        <v>1</v>
      </c>
      <c r="I8">
        <v>-4.4055782462358202E-2</v>
      </c>
      <c r="J8">
        <v>1.53952929549355E-2</v>
      </c>
      <c r="K8">
        <v>8.3121492219266402E-2</v>
      </c>
      <c r="L8">
        <v>7.9891753236210603E-2</v>
      </c>
      <c r="M8">
        <v>4.6533395259009E-2</v>
      </c>
      <c r="N8">
        <v>-0.32962302868936899</v>
      </c>
      <c r="O8">
        <v>-1.25813904440676E-2</v>
      </c>
      <c r="P8">
        <v>2.3912728546662501E-2</v>
      </c>
      <c r="Q8">
        <v>-0.20916029089529301</v>
      </c>
      <c r="R8">
        <v>0.112189657920684</v>
      </c>
    </row>
    <row r="9" spans="1:18" x14ac:dyDescent="0.2">
      <c r="A9" t="s">
        <v>7</v>
      </c>
      <c r="B9">
        <v>9.2059082899901404E-2</v>
      </c>
      <c r="C9">
        <v>8.9054749493411994E-2</v>
      </c>
      <c r="D9">
        <v>0.187550277057531</v>
      </c>
      <c r="E9">
        <v>0.10815552951743999</v>
      </c>
      <c r="F9">
        <v>-0.150107865975593</v>
      </c>
      <c r="G9">
        <v>4.7958895480873197E-2</v>
      </c>
      <c r="H9">
        <v>-4.4055782462358202E-2</v>
      </c>
      <c r="I9">
        <v>1</v>
      </c>
      <c r="J9">
        <v>6.8115108482974598E-2</v>
      </c>
      <c r="K9">
        <v>4.7206001115287298E-2</v>
      </c>
      <c r="L9">
        <v>4.1806897254714002E-2</v>
      </c>
      <c r="M9">
        <v>-0.17190885573711501</v>
      </c>
      <c r="N9">
        <v>2.8423816154318198E-3</v>
      </c>
      <c r="O9">
        <v>0.118363727436141</v>
      </c>
      <c r="P9">
        <v>7.9586268562523502E-2</v>
      </c>
      <c r="Q9">
        <v>-4.2735093399069501E-2</v>
      </c>
      <c r="R9">
        <v>-0.119224513369841</v>
      </c>
    </row>
    <row r="10" spans="1:18" x14ac:dyDescent="0.2">
      <c r="A10" t="s">
        <v>8</v>
      </c>
      <c r="B10">
        <v>-0.16014460855066701</v>
      </c>
      <c r="C10">
        <v>-2.9389012347275499E-2</v>
      </c>
      <c r="D10">
        <v>0.22633608742436401</v>
      </c>
      <c r="E10">
        <v>6.0569464450130603E-2</v>
      </c>
      <c r="F10">
        <v>-0.21434054594745899</v>
      </c>
      <c r="G10">
        <v>0.17900191309958699</v>
      </c>
      <c r="H10">
        <v>1.53952929549355E-2</v>
      </c>
      <c r="I10">
        <v>6.8115108482974598E-2</v>
      </c>
      <c r="J10">
        <v>1</v>
      </c>
      <c r="K10">
        <v>0.13298999796480501</v>
      </c>
      <c r="L10">
        <v>0.270492848178912</v>
      </c>
      <c r="M10">
        <v>-0.109700258985476</v>
      </c>
      <c r="N10">
        <v>-3.8012825139543502E-2</v>
      </c>
      <c r="O10">
        <v>0.20408429512734</v>
      </c>
      <c r="P10">
        <v>-5.4852515493328598E-2</v>
      </c>
      <c r="Q10">
        <v>3.2455675485405198E-2</v>
      </c>
      <c r="R10">
        <v>-5.9556560777119197E-2</v>
      </c>
    </row>
    <row r="11" spans="1:18" x14ac:dyDescent="0.2">
      <c r="A11" t="s">
        <v>9</v>
      </c>
      <c r="B11">
        <v>-4.3849837244889299E-2</v>
      </c>
      <c r="C11">
        <v>9.77163397938174E-2</v>
      </c>
      <c r="D11">
        <v>7.2302311265651203E-2</v>
      </c>
      <c r="E11">
        <v>1.5400207389493201E-2</v>
      </c>
      <c r="F11">
        <v>3.4486099930585599E-3</v>
      </c>
      <c r="G11">
        <v>-7.9848227831739602E-2</v>
      </c>
      <c r="H11">
        <v>8.3121492219266402E-2</v>
      </c>
      <c r="I11">
        <v>4.7206001115287298E-2</v>
      </c>
      <c r="J11">
        <v>0.13298999796480501</v>
      </c>
      <c r="K11">
        <v>1</v>
      </c>
      <c r="L11">
        <v>6.6247092753745199E-2</v>
      </c>
      <c r="M11">
        <v>4.1628927403736103E-2</v>
      </c>
      <c r="N11">
        <v>0.38685956853165399</v>
      </c>
      <c r="O11">
        <v>9.6595359742369005E-2</v>
      </c>
      <c r="P11">
        <v>8.8696695445360605E-3</v>
      </c>
      <c r="Q11">
        <v>5.8878125877109701E-2</v>
      </c>
      <c r="R11">
        <v>-6.99791579093543E-2</v>
      </c>
    </row>
    <row r="12" spans="1:18" x14ac:dyDescent="0.2">
      <c r="A12" t="s">
        <v>10</v>
      </c>
      <c r="B12">
        <v>-7.2089247750411894E-2</v>
      </c>
      <c r="C12">
        <v>-4.0153428706182999E-2</v>
      </c>
      <c r="D12">
        <v>-2.3282893182925798E-2</v>
      </c>
      <c r="E12">
        <v>2.4768331052957698E-2</v>
      </c>
      <c r="F12">
        <v>8.8927462987168897E-3</v>
      </c>
      <c r="G12">
        <v>-0.25004168363062601</v>
      </c>
      <c r="H12">
        <v>7.9891753236210603E-2</v>
      </c>
      <c r="I12">
        <v>4.1806897254714002E-2</v>
      </c>
      <c r="J12">
        <v>0.270492848178912</v>
      </c>
      <c r="K12">
        <v>6.6247092753745199E-2</v>
      </c>
      <c r="L12">
        <v>1</v>
      </c>
      <c r="M12">
        <v>0.11924469537629299</v>
      </c>
      <c r="N12">
        <v>0.208168414354129</v>
      </c>
      <c r="O12">
        <v>9.2716109305438794E-3</v>
      </c>
      <c r="P12">
        <v>-0.25018452392599999</v>
      </c>
      <c r="Q12">
        <v>0.13887001616764499</v>
      </c>
      <c r="R12">
        <v>-0.10921569573880401</v>
      </c>
    </row>
    <row r="13" spans="1:18" x14ac:dyDescent="0.2">
      <c r="A13" t="s">
        <v>11</v>
      </c>
      <c r="B13">
        <v>6.59566415944874E-3</v>
      </c>
      <c r="C13">
        <v>-9.5288653215813202E-2</v>
      </c>
      <c r="D13">
        <v>-6.4369002651413904E-2</v>
      </c>
      <c r="E13">
        <v>7.4375425572148199E-2</v>
      </c>
      <c r="F13">
        <v>-0.15714150165042001</v>
      </c>
      <c r="G13">
        <v>-7.9087853506162098E-2</v>
      </c>
      <c r="H13">
        <v>4.6533395259009E-2</v>
      </c>
      <c r="I13">
        <v>-0.17190885573711501</v>
      </c>
      <c r="J13">
        <v>-0.109700258985476</v>
      </c>
      <c r="K13">
        <v>4.1628927403736103E-2</v>
      </c>
      <c r="L13">
        <v>0.11924469537629299</v>
      </c>
      <c r="M13">
        <v>1</v>
      </c>
      <c r="N13">
        <v>0.14126151513502599</v>
      </c>
      <c r="O13">
        <v>-8.8805841595478802E-2</v>
      </c>
      <c r="P13">
        <v>-0.120376270946269</v>
      </c>
      <c r="Q13">
        <v>-8.6291382817474296E-2</v>
      </c>
      <c r="R13">
        <v>9.6672190315366099E-2</v>
      </c>
    </row>
    <row r="14" spans="1:18" x14ac:dyDescent="0.2">
      <c r="A14" t="s">
        <v>12</v>
      </c>
      <c r="B14">
        <v>-0.18532398779329101</v>
      </c>
      <c r="C14">
        <v>0.245060356560936</v>
      </c>
      <c r="D14">
        <v>-0.157507434937075</v>
      </c>
      <c r="E14">
        <v>0.18537417769044801</v>
      </c>
      <c r="F14">
        <v>-3.1960955625838901E-2</v>
      </c>
      <c r="G14">
        <v>-0.45542484555108798</v>
      </c>
      <c r="H14">
        <v>-0.32962302868936899</v>
      </c>
      <c r="I14">
        <v>2.8423816154318198E-3</v>
      </c>
      <c r="J14">
        <v>-3.8012825139543502E-2</v>
      </c>
      <c r="K14">
        <v>0.38685956853165399</v>
      </c>
      <c r="L14">
        <v>0.208168414354129</v>
      </c>
      <c r="M14">
        <v>0.14126151513502599</v>
      </c>
      <c r="N14">
        <v>1</v>
      </c>
      <c r="O14">
        <v>-0.22639899370566999</v>
      </c>
      <c r="P14">
        <v>-0.221593443415531</v>
      </c>
      <c r="Q14">
        <v>-0.19242163694655201</v>
      </c>
      <c r="R14">
        <v>4.3798147738881799E-2</v>
      </c>
    </row>
    <row r="15" spans="1:18" x14ac:dyDescent="0.2">
      <c r="A15" t="s">
        <v>13</v>
      </c>
      <c r="B15">
        <v>-9.2081662465598305E-2</v>
      </c>
      <c r="C15">
        <v>-8.2437374423303192E-3</v>
      </c>
      <c r="D15">
        <v>0.488450052822819</v>
      </c>
      <c r="E15">
        <v>9.9443662626327006E-2</v>
      </c>
      <c r="F15">
        <v>-0.154320247096769</v>
      </c>
      <c r="G15">
        <v>0.28108591227415303</v>
      </c>
      <c r="H15">
        <v>-1.25813904440676E-2</v>
      </c>
      <c r="I15">
        <v>0.118363727436141</v>
      </c>
      <c r="J15">
        <v>0.20408429512734</v>
      </c>
      <c r="K15">
        <v>9.6595359742369005E-2</v>
      </c>
      <c r="L15">
        <v>9.2716109305438794E-3</v>
      </c>
      <c r="M15">
        <v>-8.8805841595478802E-2</v>
      </c>
      <c r="N15">
        <v>-0.22639899370566999</v>
      </c>
      <c r="O15">
        <v>1</v>
      </c>
      <c r="P15">
        <v>-5.1020385499928302E-2</v>
      </c>
      <c r="Q15">
        <v>7.84302465180306E-2</v>
      </c>
      <c r="R15">
        <v>-1.2567955086657701E-2</v>
      </c>
    </row>
    <row r="16" spans="1:18" x14ac:dyDescent="0.2">
      <c r="A16" t="s">
        <v>14</v>
      </c>
      <c r="B16">
        <v>9.5084432791718895E-2</v>
      </c>
      <c r="C16">
        <v>-9.7612034200648498E-2</v>
      </c>
      <c r="D16">
        <v>3.0437599281273899E-2</v>
      </c>
      <c r="E16">
        <v>-2.2350570798066401E-2</v>
      </c>
      <c r="F16">
        <v>4.82474535983623E-2</v>
      </c>
      <c r="G16">
        <v>0.215554327111842</v>
      </c>
      <c r="H16">
        <v>2.3912728546662501E-2</v>
      </c>
      <c r="I16">
        <v>7.9586268562523502E-2</v>
      </c>
      <c r="J16">
        <v>-5.4852515493328598E-2</v>
      </c>
      <c r="K16">
        <v>8.8696695445360605E-3</v>
      </c>
      <c r="L16">
        <v>-0.25018452392599999</v>
      </c>
      <c r="M16">
        <v>-0.120376270946269</v>
      </c>
      <c r="N16">
        <v>-0.221593443415531</v>
      </c>
      <c r="O16">
        <v>-5.1020385499928302E-2</v>
      </c>
      <c r="P16">
        <v>1</v>
      </c>
      <c r="Q16">
        <v>-1.1262233475379E-2</v>
      </c>
      <c r="R16">
        <v>-5.8362312808885999E-2</v>
      </c>
    </row>
    <row r="17" spans="1:18" x14ac:dyDescent="0.2">
      <c r="A17" t="s">
        <v>15</v>
      </c>
      <c r="B17">
        <v>1.4590032172127799E-2</v>
      </c>
      <c r="C17">
        <v>-0.14898016666396299</v>
      </c>
      <c r="D17">
        <v>3.80495344050173E-2</v>
      </c>
      <c r="E17">
        <v>9.1721698275907208E-3</v>
      </c>
      <c r="F17">
        <v>-0.25392895404586602</v>
      </c>
      <c r="G17">
        <v>1.9316195426072501E-2</v>
      </c>
      <c r="H17">
        <v>-0.20916029089529301</v>
      </c>
      <c r="I17">
        <v>-4.2735093399069501E-2</v>
      </c>
      <c r="J17">
        <v>3.2455675485405198E-2</v>
      </c>
      <c r="K17">
        <v>5.8878125877109701E-2</v>
      </c>
      <c r="L17">
        <v>0.13887001616764499</v>
      </c>
      <c r="M17">
        <v>-8.6291382817474296E-2</v>
      </c>
      <c r="N17">
        <v>-0.19242163694655201</v>
      </c>
      <c r="O17">
        <v>7.84302465180306E-2</v>
      </c>
      <c r="P17">
        <v>-1.1262233475379E-2</v>
      </c>
      <c r="Q17">
        <v>1</v>
      </c>
      <c r="R17">
        <v>-5.8623359802545197E-2</v>
      </c>
    </row>
    <row r="18" spans="1:18" x14ac:dyDescent="0.2">
      <c r="A18" t="s">
        <v>20</v>
      </c>
      <c r="B18">
        <v>0.166393776520599</v>
      </c>
      <c r="C18">
        <v>-9.3914329780291402E-3</v>
      </c>
      <c r="D18">
        <v>-9.4057502795165102E-2</v>
      </c>
      <c r="E18">
        <v>4.2561814834169001E-2</v>
      </c>
      <c r="F18">
        <v>-3.4997996918740303E-2</v>
      </c>
      <c r="G18">
        <v>2.0549342242573501E-2</v>
      </c>
      <c r="H18">
        <v>0.112189657920684</v>
      </c>
      <c r="I18">
        <v>-0.119224513369841</v>
      </c>
      <c r="J18">
        <v>-5.9556560777119197E-2</v>
      </c>
      <c r="K18">
        <v>-6.99791579093543E-2</v>
      </c>
      <c r="L18">
        <v>-0.10921569573880401</v>
      </c>
      <c r="M18">
        <v>9.6672190315366099E-2</v>
      </c>
      <c r="N18">
        <v>4.3798147738881799E-2</v>
      </c>
      <c r="O18">
        <v>-1.2567955086657701E-2</v>
      </c>
      <c r="P18">
        <v>-5.8362312808885999E-2</v>
      </c>
      <c r="Q18">
        <v>-5.8623359802545197E-2</v>
      </c>
      <c r="R18">
        <v>1</v>
      </c>
    </row>
    <row r="19" spans="1:18" x14ac:dyDescent="0.2">
      <c r="B19">
        <f>ABS(B18)</f>
        <v>0.166393776520599</v>
      </c>
      <c r="C19">
        <f t="shared" ref="C19:M19" si="0">ABS(C18)</f>
        <v>9.3914329780291402E-3</v>
      </c>
      <c r="D19">
        <f t="shared" si="0"/>
        <v>9.4057502795165102E-2</v>
      </c>
      <c r="E19">
        <f t="shared" si="0"/>
        <v>4.2561814834169001E-2</v>
      </c>
      <c r="F19">
        <f t="shared" si="0"/>
        <v>3.4997996918740303E-2</v>
      </c>
      <c r="G19">
        <f t="shared" si="0"/>
        <v>2.0549342242573501E-2</v>
      </c>
      <c r="H19">
        <f t="shared" si="0"/>
        <v>0.112189657920684</v>
      </c>
      <c r="I19">
        <f t="shared" si="0"/>
        <v>0.119224513369841</v>
      </c>
      <c r="J19">
        <f t="shared" si="0"/>
        <v>5.9556560777119197E-2</v>
      </c>
      <c r="K19">
        <f t="shared" si="0"/>
        <v>6.99791579093543E-2</v>
      </c>
      <c r="L19">
        <f t="shared" si="0"/>
        <v>0.10921569573880401</v>
      </c>
      <c r="M19">
        <f t="shared" si="0"/>
        <v>9.6672190315366099E-2</v>
      </c>
      <c r="N19">
        <f>ABS(N18)</f>
        <v>4.3798147738881799E-2</v>
      </c>
      <c r="O19">
        <f t="shared" ref="O19:Q19" si="1">ABS(O18)</f>
        <v>1.2567955086657701E-2</v>
      </c>
      <c r="P19">
        <f t="shared" si="1"/>
        <v>5.8362312808885999E-2</v>
      </c>
      <c r="Q19">
        <f t="shared" si="1"/>
        <v>5.8623359802545197E-2</v>
      </c>
    </row>
    <row r="20" spans="1:18" x14ac:dyDescent="0.2">
      <c r="B20" t="str">
        <f>IF(B18&gt;0,"+","-")</f>
        <v>+</v>
      </c>
      <c r="C20" t="str">
        <f t="shared" ref="C20:M20" si="2">IF(C18&gt;0,"+","-")</f>
        <v>-</v>
      </c>
      <c r="D20" t="str">
        <f t="shared" si="2"/>
        <v>-</v>
      </c>
      <c r="E20" t="str">
        <f t="shared" si="2"/>
        <v>+</v>
      </c>
      <c r="F20" t="str">
        <f t="shared" si="2"/>
        <v>-</v>
      </c>
      <c r="G20" t="str">
        <f t="shared" si="2"/>
        <v>+</v>
      </c>
      <c r="H20" t="str">
        <f t="shared" si="2"/>
        <v>+</v>
      </c>
      <c r="I20" t="str">
        <f t="shared" si="2"/>
        <v>-</v>
      </c>
      <c r="J20" t="str">
        <f t="shared" si="2"/>
        <v>-</v>
      </c>
      <c r="K20" t="str">
        <f t="shared" si="2"/>
        <v>-</v>
      </c>
      <c r="L20" t="str">
        <f t="shared" si="2"/>
        <v>-</v>
      </c>
      <c r="M20" t="str">
        <f t="shared" si="2"/>
        <v>+</v>
      </c>
      <c r="N20" t="str">
        <f>IF(N18&gt;0,"+","-")</f>
        <v>+</v>
      </c>
      <c r="O20" t="str">
        <f t="shared" ref="O20:Q20" si="3">IF(O18&gt;0,"+","-")</f>
        <v>-</v>
      </c>
      <c r="P20" t="str">
        <f t="shared" si="3"/>
        <v>-</v>
      </c>
      <c r="Q20" t="str">
        <f t="shared" si="3"/>
        <v>-</v>
      </c>
    </row>
  </sheetData>
  <conditionalFormatting sqref="B19:Q1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Q20">
    <cfRule type="cellIs" dxfId="1" priority="1" operator="equal">
      <formula>"+"</formula>
    </cfRule>
    <cfRule type="cellIs" dxfId="0" priority="2" operator="equal">
      <formula>"-"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correlation</vt:lpstr>
      <vt:lpstr>correlation_arousal</vt:lpstr>
      <vt:lpstr>correlation_mood</vt:lpstr>
      <vt:lpstr>correlation_valence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Alexia Luizinho</dc:creator>
  <cp:lastModifiedBy>Alexia Luizinho</cp:lastModifiedBy>
  <dcterms:created xsi:type="dcterms:W3CDTF">2023-04-20T12:07:25Z</dcterms:created>
  <dcterms:modified xsi:type="dcterms:W3CDTF">2023-04-20T12:10:01Z</dcterms:modified>
</cp:coreProperties>
</file>